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b47daf1e9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19117050764302"/>
    <x:sheet xmlns:r="http://schemas.openxmlformats.org/officeDocument/2006/relationships" name="Network Nodes" sheetId="2" r:id="Re251378ba7074055"/>
    <x:sheet xmlns:r="http://schemas.openxmlformats.org/officeDocument/2006/relationships" name="Transport Lanes" sheetId="3" r:id="Rdf761adcf78c48c1"/>
    <x:sheet xmlns:r="http://schemas.openxmlformats.org/officeDocument/2006/relationships" name="Assumptions" sheetId="4" r:id="R5f32b63d2b69487f"/>
    <x:sheet xmlns:r="http://schemas.openxmlformats.org/officeDocument/2006/relationships" name="Validation" sheetId="5" r:id="R21bb5073cd374b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"/>
    <x:numFmt numFmtId="202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05ccd23194f9e" /><Relationship Type="http://schemas.openxmlformats.org/officeDocument/2006/relationships/theme" Target="/xl/theme/theme1.xml" Id="R8004ca3412fd4b38" /><Relationship Type="http://schemas.openxmlformats.org/officeDocument/2006/relationships/sharedStrings" Target="/xl/sharedStrings.xml" Id="Rf25900df84604cfd" /><Relationship Type="http://schemas.openxmlformats.org/officeDocument/2006/relationships/worksheet" Target="/xl/worksheets/sheet1.xml" Id="R7419117050764302" /><Relationship Type="http://schemas.openxmlformats.org/officeDocument/2006/relationships/worksheet" Target="/xl/worksheets/sheet2.xml" Id="Re251378ba7074055" /><Relationship Type="http://schemas.openxmlformats.org/officeDocument/2006/relationships/worksheet" Target="/xl/worksheets/sheet3.xml" Id="Rdf761adcf78c48c1" /><Relationship Type="http://schemas.openxmlformats.org/officeDocument/2006/relationships/worksheet" Target="/xl/worksheets/sheet4.xml" Id="R5f32b63d2b69487f" /><Relationship Type="http://schemas.openxmlformats.org/officeDocument/2006/relationships/worksheet" Target="/xl/worksheets/sheet5.xml" Id="R21bb5073cd374be1" /></Relationships>
</file>

<file path=xl/tables/table1.xml><?xml version="1.0" encoding="utf-8"?>
<x:table xmlns:x="http://schemas.openxmlformats.org/spreadsheetml/2006/main" id="1" name="NetworkNodesTable" displayName="NetworkNodesTable" ref="A1:O51" headerRowCount="1" totalsRowCount="0" totalsRowShown="0">
  <x:tableColumns count="15">
    <x:tableColumn id="1" name="network_id"/>
    <x:tableColumn id="2" name="network_revision"/>
    <x:tableColumn id="3" name="company_cd"/>
    <x:tableColumn id="4" name="subs_cd"/>
    <x:tableColumn id="5" name="site_cd"/>
    <x:tableColumn id="6" name="country_name"/>
    <x:tableColumn id="7" name="node_role"/>
    <x:tableColumn id="8" name="echelon_level"/>
    <x:tableColumn id="9" name="parent_site_cd"/>
    <x:tableColumn id="10" name="reference_city"/>
    <x:tableColumn id="11" name="latitude"/>
    <x:tableColumn id="12" name="longitude"/>
    <x:tableColumn id="13" name="source_type"/>
    <x:tableColumn id="14" name="status"/>
    <x:tableColumn id="15" name="effective_fro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portLanesTable" displayName="TransportLanesTable" ref="A1:AH81" headerRowCount="1" totalsRowCount="0" totalsRowShown="0">
  <x:tableColumns count="34">
    <x:tableColumn id="1" name="lane_id"/>
    <x:tableColumn id="2" name="network_id"/>
    <x:tableColumn id="3" name="network_revision"/>
    <x:tableColumn id="4" name="company_cd"/>
    <x:tableColumn id="5" name="subs_cd"/>
    <x:tableColumn id="6" name="from_site_cd"/>
    <x:tableColumn id="7" name="to_site_cd"/>
    <x:tableColumn id="8" name="from_country"/>
    <x:tableColumn id="9" name="to_country"/>
    <x:tableColumn id="10" name="transport_mode"/>
    <x:tableColumn id="11" name="route_priority"/>
    <x:tableColumn id="12" name="from_latitude"/>
    <x:tableColumn id="13" name="from_longitude"/>
    <x:tableColumn id="14" name="to_latitude"/>
    <x:tableColumn id="15" name="to_longitude"/>
    <x:tableColumn id="16" name="great_circle_km"/>
    <x:tableColumn id="17" name="route_factor"/>
    <x:tableColumn id="18" name="route_distance_km"/>
    <x:tableColumn id="19" name="speed_km_per_day"/>
    <x:tableColumn id="20" name="origin_handling_days"/>
    <x:tableColumn id="21" name="departure_wait_days"/>
    <x:tableColumn id="22" name="customs_days"/>
    <x:tableColumn id="23" name="destination_handling_days"/>
    <x:tableColumn id="24" name="linehaul_days"/>
    <x:tableColumn id="25" name="p50_lead_time_days"/>
    <x:tableColumn id="26" name="variability_factor"/>
    <x:tableColumn id="27" name="p90_lead_time_days"/>
    <x:tableColumn id="28" name="planning_lead_time_days"/>
    <x:tableColumn id="29" name="source_type"/>
    <x:tableColumn id="30" name="calculation_method"/>
    <x:tableColumn id="31" name="confidence"/>
    <x:tableColumn id="32" name="status"/>
    <x:tableColumn id="33" name="calculation_reference_url"/>
    <x:tableColumn id="34" name="effective_fro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28c6f71f6043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38f2d02a984d4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IO Multi-Echelon Network Seed — 개발 기준선</x:v>
      </x:c>
      <x:c r="B1" s="3"/>
      <x:c r="C1" s="3"/>
      <x:c r="D1" s="3"/>
      <x:c r="E1" s="3"/>
      <x:c r="F1" s="3"/>
      <x:c r="G1" s="3"/>
      <x:c r="H1" s="3"/>
    </x:row>
    <x:row r="3" ht="32" customHeight="1">
      <x:c r="A3" s="6" t="str">
        <x:v>항목</x:v>
      </x:c>
      <x:c r="B3" s="6" t="str">
        <x:v>값</x:v>
      </x:c>
      <x:c r="D3" s="6" t="str">
        <x:v>설계 결정</x:v>
      </x:c>
      <x:c r="E3" s="6"/>
      <x:c r="F3" s="6"/>
      <x:c r="G3" s="6"/>
      <x:c r="H3" s="6"/>
    </x:row>
    <x:row r="4">
      <x:c r="A4" s="13" t="str">
        <x:v>Company</x:v>
      </x:c>
      <x:c r="B4" s="13" t="str">
        <x:v>DSE</x:v>
      </x:c>
      <x:c r="D4" s="9" t="str">
        <x:v>tb_mst_site_country는 Site 정적 속성만 유지합니다. 공급 관계와 운송 Lead Time은 PostgreSQL의 Versioned Network/Node/Lane에서 관리하고, Neo4j는 Outbox 기반 경로·영향도 조회 Projection으로 사용합니다. 이 워크북의 시간은 대표 물류도시 대권거리와 Mode Assumption으로 계산한 개발용 추정값이며 운영 계약시간이 아닙니다.</x:v>
      </x:c>
      <x:c r="E4" s="9"/>
      <x:c r="F4" s="9"/>
      <x:c r="G4" s="9"/>
      <x:c r="H4" s="9"/>
    </x:row>
    <x:row r="5">
      <x:c r="A5" s="13" t="str">
        <x:v>Network Revision</x:v>
      </x:c>
      <x:c r="B5" s="13" t="str">
        <x:v>SYNTH-20260902-V1</x:v>
      </x:c>
      <x:c r="D5" s="9"/>
      <x:c r="E5" s="9"/>
      <x:c r="F5" s="9"/>
      <x:c r="G5" s="9"/>
      <x:c r="H5" s="9"/>
    </x:row>
    <x:row r="6">
      <x:c r="A6" s="13" t="str">
        <x:v>Source Site 수</x:v>
      </x:c>
      <x:c r="B6" s="13" t="n">
        <x:v>50</x:v>
      </x:c>
      <x:c r="D6" s="9"/>
      <x:c r="E6" s="9"/>
      <x:c r="F6" s="9"/>
      <x:c r="G6" s="9"/>
      <x:c r="H6" s="9"/>
    </x:row>
    <x:row r="7">
      <x:c r="A7" s="13" t="str">
        <x:v>Subsidiary 수</x:v>
      </x:c>
      <x:c r="B7" s="13" t="n">
        <x:v>10</x:v>
      </x:c>
      <x:c r="D7" s="9"/>
      <x:c r="E7" s="9"/>
      <x:c r="F7" s="9"/>
      <x:c r="G7" s="9"/>
      <x:c r="H7" s="9"/>
    </x:row>
    <x:row r="8">
      <x:c r="A8" s="13" t="str">
        <x:v>Hub 수</x:v>
      </x:c>
      <x:c r="B8" s="13" t="n">
        <x:v>10</x:v>
      </x:c>
      <x:c r="D8" s="9"/>
      <x:c r="E8" s="9"/>
      <x:c r="F8" s="9"/>
      <x:c r="G8" s="9"/>
      <x:c r="H8" s="9"/>
    </x:row>
    <x:row r="9">
      <x:c r="A9" s="13" t="str">
        <x:v>Spoke 수</x:v>
      </x:c>
      <x:c r="B9" s="13" t="n">
        <x:v>40</x:v>
      </x:c>
      <x:c r="D9" s="9"/>
      <x:c r="E9" s="9"/>
      <x:c r="F9" s="9"/>
      <x:c r="G9" s="9"/>
      <x:c r="H9" s="9"/>
    </x:row>
    <x:row r="10">
      <x:c r="A10" s="13" t="str">
        <x:v>Hub→Spoke 관계 수</x:v>
      </x:c>
      <x:c r="B10" s="13" t="n">
        <x:v>40</x:v>
      </x:c>
      <x:c r="D10" s="9"/>
      <x:c r="E10" s="9"/>
      <x:c r="F10" s="9"/>
      <x:c r="G10" s="9"/>
      <x:c r="H10" s="9"/>
    </x:row>
    <x:row r="11">
      <x:c r="A11" s="13" t="str">
        <x:v>운송수단별 Lane Row 수</x:v>
      </x:c>
      <x:c r="B11" s="13" t="n">
        <x:v>80</x:v>
      </x:c>
    </x:row>
    <x:row r="12">
      <x:c r="A12" s="13" t="str">
        <x:v>운영 사용 가능 여부</x:v>
      </x:c>
      <x:c r="B12" s="13" t="str">
        <x:v>아니오 — DRAFT / SYNTHETIC_CALCULATED</x:v>
      </x:c>
    </x:row>
    <x:row r="14">
      <x:c r="A14" s="12" t="str">
        <x:v>계획 Lead Time은 P90을 사용합니다. 외부 Routing/Schedule API는 호출하지 않았으며, 운영 전환 시 계약 Lane 또는 TMS 실적으로 새 Revision을 발행해야 합니다.</x:v>
      </x:c>
      <x:c r="B14" s="12"/>
      <x:c r="C14" s="12"/>
      <x:c r="D14" s="12"/>
      <x:c r="E14" s="12"/>
      <x:c r="F14" s="12"/>
      <x:c r="G14" s="12"/>
      <x:c r="H14" s="12"/>
    </x:row>
  </x:sheetData>
  <x:mergeCells>
    <x:mergeCell ref="A1:H1"/>
    <x:mergeCell ref="D3:H3"/>
    <x:mergeCell ref="D4:H10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09999656677246" hidden="0" customWidth="1"/>
    <x:col min="2" max="2" width="16.329999923706055" hidden="0" customWidth="1"/>
    <x:col min="3" max="3" width="10.4399995803833" hidden="0" customWidth="1"/>
    <x:col min="4" max="4" width="7" hidden="0" customWidth="1"/>
    <x:col min="5" max="5" width="6" hidden="0" customWidth="1"/>
    <x:col min="6" max="6" width="14" hidden="0" customWidth="1"/>
    <x:col min="7" max="7" width="24" hidden="0" customWidth="1"/>
    <x:col min="8" max="8" width="11" hidden="0" customWidth="1"/>
    <x:col min="9" max="9" width="11.890000343322754" hidden="0" customWidth="1"/>
    <x:col min="10" max="10" width="20" hidden="0" customWidth="1"/>
    <x:col min="11" max="11" width="7" hidden="0" customWidth="1"/>
    <x:col min="12" max="12" width="7.78000020980835" hidden="0" customWidth="1"/>
    <x:col min="13" max="13" width="23" hidden="0" customWidth="1"/>
    <x:col min="14" max="14" width="5.670000076293945" hidden="0" customWidth="1"/>
    <x:col min="15" max="15" width="11.5600004196167" hidden="0" customWidth="1"/>
  </x:cols>
  <x:sheetData>
    <x:row r="1" ht="32" customHeight="1">
      <x:c r="A1" s="6" t="str">
        <x:v>network_id</x:v>
      </x:c>
      <x:c r="B1" s="6" t="str">
        <x:v>network_revision</x:v>
      </x:c>
      <x:c r="C1" s="6" t="str">
        <x:v>company_cd</x:v>
      </x:c>
      <x:c r="D1" s="6" t="str">
        <x:v>subs_cd</x:v>
      </x:c>
      <x:c r="E1" s="6" t="str">
        <x:v>site_cd</x:v>
      </x:c>
      <x:c r="F1" s="6" t="str">
        <x:v>country_name</x:v>
      </x:c>
      <x:c r="G1" s="6" t="str">
        <x:v>node_role</x:v>
      </x:c>
      <x:c r="H1" s="6" t="str">
        <x:v>echelon_level</x:v>
      </x:c>
      <x:c r="I1" s="6" t="str">
        <x:v>parent_site_cd</x:v>
      </x:c>
      <x:c r="J1" s="6" t="str">
        <x:v>reference_city</x:v>
      </x:c>
      <x:c r="K1" s="6" t="str">
        <x:v>latitude</x:v>
      </x:c>
      <x:c r="L1" s="6" t="str">
        <x:v>longitude</x:v>
      </x:c>
      <x:c r="M1" s="6" t="str">
        <x:v>source_type</x:v>
      </x:c>
      <x:c r="N1" s="6" t="str">
        <x:v>status</x:v>
      </x:c>
      <x:c r="O1" s="6" t="str">
        <x:v>effective_from</x:v>
      </x:c>
    </x:row>
    <x:row r="2">
      <x:c r="A2" s="13" t="str">
        <x:v>NET-C100</x:v>
      </x:c>
      <x:c r="B2" s="13" t="str">
        <x:v>SYNTH-20260902-V1</x:v>
      </x:c>
      <x:c r="C2" s="13" t="str">
        <x:v>DSE</x:v>
      </x:c>
      <x:c r="D2" s="13" t="str">
        <x:v>C100</x:v>
      </x:c>
      <x:c r="E2" s="13" t="str">
        <x:v>V100</x:v>
      </x:c>
      <x:c r="F2" s="13" t="str">
        <x:v>대한민국</x:v>
      </x:c>
      <x:c r="G2" s="13" t="str">
        <x:v>HUB_WITH_LOCAL_DEMAND</x:v>
      </x:c>
      <x:c r="H2" s="13" t="n">
        <x:v>1</x:v>
      </x:c>
      <x:c r="I2" s="13" t="str"/>
      <x:c r="J2" s="13" t="str">
        <x:v>서울/인천</x:v>
      </x:c>
      <x:c r="K2" s="14" t="n">
        <x:v>37.5665</x:v>
      </x:c>
      <x:c r="L2" s="14" t="n">
        <x:v>126.978</x:v>
      </x:c>
      <x:c r="M2" s="13" t="str">
        <x:v>SYNTHETIC_CALCULATED</x:v>
      </x:c>
      <x:c r="N2" s="13" t="str">
        <x:v>DRAFT</x:v>
      </x:c>
      <x:c r="O2" s="13" t="str">
        <x:v>2026-09-02</x:v>
      </x:c>
    </x:row>
    <x:row r="3">
      <x:c r="A3" s="13" t="str">
        <x:v>NET-C100</x:v>
      </x:c>
      <x:c r="B3" s="13" t="str">
        <x:v>SYNTH-20260902-V1</x:v>
      </x:c>
      <x:c r="C3" s="13" t="str">
        <x:v>DSE</x:v>
      </x:c>
      <x:c r="D3" s="13" t="str">
        <x:v>C100</x:v>
      </x:c>
      <x:c r="E3" s="13" t="str">
        <x:v>V101</x:v>
      </x:c>
      <x:c r="F3" s="13" t="str">
        <x:v>일본</x:v>
      </x:c>
      <x:c r="G3" s="13" t="str">
        <x:v>SPOKE</x:v>
      </x:c>
      <x:c r="H3" s="13" t="n">
        <x:v>2</x:v>
      </x:c>
      <x:c r="I3" s="13" t="str">
        <x:v>V100</x:v>
      </x:c>
      <x:c r="J3" s="13" t="str">
        <x:v>도쿄/요코하마</x:v>
      </x:c>
      <x:c r="K3" s="14" t="n">
        <x:v>35.6762</x:v>
      </x:c>
      <x:c r="L3" s="14" t="n">
        <x:v>139.6503</x:v>
      </x:c>
      <x:c r="M3" s="13" t="str">
        <x:v>SYNTHETIC_CALCULATED</x:v>
      </x:c>
      <x:c r="N3" s="13" t="str">
        <x:v>DRAFT</x:v>
      </x:c>
      <x:c r="O3" s="13" t="str">
        <x:v>2026-09-02</x:v>
      </x:c>
    </x:row>
    <x:row r="4">
      <x:c r="A4" s="13" t="str">
        <x:v>NET-C100</x:v>
      </x:c>
      <x:c r="B4" s="13" t="str">
        <x:v>SYNTH-20260902-V1</x:v>
      </x:c>
      <x:c r="C4" s="13" t="str">
        <x:v>DSE</x:v>
      </x:c>
      <x:c r="D4" s="13" t="str">
        <x:v>C100</x:v>
      </x:c>
      <x:c r="E4" s="13" t="str">
        <x:v>V102</x:v>
      </x:c>
      <x:c r="F4" s="13" t="str">
        <x:v>중국</x:v>
      </x:c>
      <x:c r="G4" s="13" t="str">
        <x:v>SPOKE</x:v>
      </x:c>
      <x:c r="H4" s="13" t="n">
        <x:v>2</x:v>
      </x:c>
      <x:c r="I4" s="13" t="str">
        <x:v>V100</x:v>
      </x:c>
      <x:c r="J4" s="13" t="str">
        <x:v>상하이</x:v>
      </x:c>
      <x:c r="K4" s="14" t="n">
        <x:v>31.2304</x:v>
      </x:c>
      <x:c r="L4" s="14" t="n">
        <x:v>121.4737</x:v>
      </x:c>
      <x:c r="M4" s="13" t="str">
        <x:v>SYNTHETIC_CALCULATED</x:v>
      </x:c>
      <x:c r="N4" s="13" t="str">
        <x:v>DRAFT</x:v>
      </x:c>
      <x:c r="O4" s="13" t="str">
        <x:v>2026-09-02</x:v>
      </x:c>
    </x:row>
    <x:row r="5">
      <x:c r="A5" s="13" t="str">
        <x:v>NET-C100</x:v>
      </x:c>
      <x:c r="B5" s="13" t="str">
        <x:v>SYNTH-20260902-V1</x:v>
      </x:c>
      <x:c r="C5" s="13" t="str">
        <x:v>DSE</x:v>
      </x:c>
      <x:c r="D5" s="13" t="str">
        <x:v>C100</x:v>
      </x:c>
      <x:c r="E5" s="13" t="str">
        <x:v>V103</x:v>
      </x:c>
      <x:c r="F5" s="13" t="str">
        <x:v>사우디</x:v>
      </x:c>
      <x:c r="G5" s="13" t="str">
        <x:v>SPOKE</x:v>
      </x:c>
      <x:c r="H5" s="13" t="n">
        <x:v>2</x:v>
      </x:c>
      <x:c r="I5" s="13" t="str">
        <x:v>V100</x:v>
      </x:c>
      <x:c r="J5" s="13" t="str">
        <x:v>리야드/담맘</x:v>
      </x:c>
      <x:c r="K5" s="14" t="n">
        <x:v>24.7136</x:v>
      </x:c>
      <x:c r="L5" s="14" t="n">
        <x:v>46.6753</x:v>
      </x:c>
      <x:c r="M5" s="13" t="str">
        <x:v>SYNTHETIC_CALCULATED</x:v>
      </x:c>
      <x:c r="N5" s="13" t="str">
        <x:v>DRAFT</x:v>
      </x:c>
      <x:c r="O5" s="13" t="str">
        <x:v>2026-09-02</x:v>
      </x:c>
    </x:row>
    <x:row r="6">
      <x:c r="A6" s="13" t="str">
        <x:v>NET-C100</x:v>
      </x:c>
      <x:c r="B6" s="13" t="str">
        <x:v>SYNTH-20260902-V1</x:v>
      </x:c>
      <x:c r="C6" s="13" t="str">
        <x:v>DSE</x:v>
      </x:c>
      <x:c r="D6" s="13" t="str">
        <x:v>C100</x:v>
      </x:c>
      <x:c r="E6" s="13" t="str">
        <x:v>V104</x:v>
      </x:c>
      <x:c r="F6" s="13" t="str">
        <x:v>UAE</x:v>
      </x:c>
      <x:c r="G6" s="13" t="str">
        <x:v>SPOKE</x:v>
      </x:c>
      <x:c r="H6" s="13" t="n">
        <x:v>2</x:v>
      </x:c>
      <x:c r="I6" s="13" t="str">
        <x:v>V100</x:v>
      </x:c>
      <x:c r="J6" s="13" t="str">
        <x:v>두바이/제벨알리</x:v>
      </x:c>
      <x:c r="K6" s="14" t="n">
        <x:v>25.2048</x:v>
      </x:c>
      <x:c r="L6" s="14" t="n">
        <x:v>55.2708</x:v>
      </x:c>
      <x:c r="M6" s="13" t="str">
        <x:v>SYNTHETIC_CALCULATED</x:v>
      </x:c>
      <x:c r="N6" s="13" t="str">
        <x:v>DRAFT</x:v>
      </x:c>
      <x:c r="O6" s="13" t="str">
        <x:v>2026-09-02</x:v>
      </x:c>
    </x:row>
    <x:row r="7">
      <x:c r="A7" s="13" t="str">
        <x:v>NET-C110</x:v>
      </x:c>
      <x:c r="B7" s="13" t="str">
        <x:v>SYNTH-20260902-V1</x:v>
      </x:c>
      <x:c r="C7" s="13" t="str">
        <x:v>DSE</x:v>
      </x:c>
      <x:c r="D7" s="13" t="str">
        <x:v>C110</x:v>
      </x:c>
      <x:c r="E7" s="13" t="str">
        <x:v>V110</x:v>
      </x:c>
      <x:c r="F7" s="13" t="str">
        <x:v>베트남</x:v>
      </x:c>
      <x:c r="G7" s="13" t="str">
        <x:v>HUB_WITH_LOCAL_DEMAND</x:v>
      </x:c>
      <x:c r="H7" s="13" t="n">
        <x:v>1</x:v>
      </x:c>
      <x:c r="I7" s="13" t="str"/>
      <x:c r="J7" s="13" t="str">
        <x:v>호찌민</x:v>
      </x:c>
      <x:c r="K7" s="14" t="n">
        <x:v>10.8231</x:v>
      </x:c>
      <x:c r="L7" s="14" t="n">
        <x:v>106.6297</x:v>
      </x:c>
      <x:c r="M7" s="13" t="str">
        <x:v>SYNTHETIC_CALCULATED</x:v>
      </x:c>
      <x:c r="N7" s="13" t="str">
        <x:v>DRAFT</x:v>
      </x:c>
      <x:c r="O7" s="13" t="str">
        <x:v>2026-09-02</x:v>
      </x:c>
    </x:row>
    <x:row r="8">
      <x:c r="A8" s="13" t="str">
        <x:v>NET-C110</x:v>
      </x:c>
      <x:c r="B8" s="13" t="str">
        <x:v>SYNTH-20260902-V1</x:v>
      </x:c>
      <x:c r="C8" s="13" t="str">
        <x:v>DSE</x:v>
      </x:c>
      <x:c r="D8" s="13" t="str">
        <x:v>C110</x:v>
      </x:c>
      <x:c r="E8" s="13" t="str">
        <x:v>V111</x:v>
      </x:c>
      <x:c r="F8" s="13" t="str">
        <x:v>인도네시아</x:v>
      </x:c>
      <x:c r="G8" s="13" t="str">
        <x:v>SPOKE</x:v>
      </x:c>
      <x:c r="H8" s="13" t="n">
        <x:v>2</x:v>
      </x:c>
      <x:c r="I8" s="13" t="str">
        <x:v>V110</x:v>
      </x:c>
      <x:c r="J8" s="13" t="str">
        <x:v>자카르타</x:v>
      </x:c>
      <x:c r="K8" s="14" t="n">
        <x:v>-6.2088</x:v>
      </x:c>
      <x:c r="L8" s="14" t="n">
        <x:v>106.8456</x:v>
      </x:c>
      <x:c r="M8" s="13" t="str">
        <x:v>SYNTHETIC_CALCULATED</x:v>
      </x:c>
      <x:c r="N8" s="13" t="str">
        <x:v>DRAFT</x:v>
      </x:c>
      <x:c r="O8" s="13" t="str">
        <x:v>2026-09-02</x:v>
      </x:c>
    </x:row>
    <x:row r="9">
      <x:c r="A9" s="13" t="str">
        <x:v>NET-C110</x:v>
      </x:c>
      <x:c r="B9" s="13" t="str">
        <x:v>SYNTH-20260902-V1</x:v>
      </x:c>
      <x:c r="C9" s="13" t="str">
        <x:v>DSE</x:v>
      </x:c>
      <x:c r="D9" s="13" t="str">
        <x:v>C110</x:v>
      </x:c>
      <x:c r="E9" s="13" t="str">
        <x:v>V112</x:v>
      </x:c>
      <x:c r="F9" s="13" t="str">
        <x:v>태국</x:v>
      </x:c>
      <x:c r="G9" s="13" t="str">
        <x:v>SPOKE</x:v>
      </x:c>
      <x:c r="H9" s="13" t="n">
        <x:v>2</x:v>
      </x:c>
      <x:c r="I9" s="13" t="str">
        <x:v>V110</x:v>
      </x:c>
      <x:c r="J9" s="13" t="str">
        <x:v>방콕/램차방</x:v>
      </x:c>
      <x:c r="K9" s="14" t="n">
        <x:v>13.7563</x:v>
      </x:c>
      <x:c r="L9" s="14" t="n">
        <x:v>100.5018</x:v>
      </x:c>
      <x:c r="M9" s="13" t="str">
        <x:v>SYNTHETIC_CALCULATED</x:v>
      </x:c>
      <x:c r="N9" s="13" t="str">
        <x:v>DRAFT</x:v>
      </x:c>
      <x:c r="O9" s="13" t="str">
        <x:v>2026-09-02</x:v>
      </x:c>
    </x:row>
    <x:row r="10">
      <x:c r="A10" s="13" t="str">
        <x:v>NET-C110</x:v>
      </x:c>
      <x:c r="B10" s="13" t="str">
        <x:v>SYNTH-20260902-V1</x:v>
      </x:c>
      <x:c r="C10" s="13" t="str">
        <x:v>DSE</x:v>
      </x:c>
      <x:c r="D10" s="13" t="str">
        <x:v>C110</x:v>
      </x:c>
      <x:c r="E10" s="13" t="str">
        <x:v>V113</x:v>
      </x:c>
      <x:c r="F10" s="13" t="str">
        <x:v>필리핀</x:v>
      </x:c>
      <x:c r="G10" s="13" t="str">
        <x:v>SPOKE</x:v>
      </x:c>
      <x:c r="H10" s="13" t="n">
        <x:v>2</x:v>
      </x:c>
      <x:c r="I10" s="13" t="str">
        <x:v>V110</x:v>
      </x:c>
      <x:c r="J10" s="13" t="str">
        <x:v>마닐라</x:v>
      </x:c>
      <x:c r="K10" s="14" t="n">
        <x:v>14.5995</x:v>
      </x:c>
      <x:c r="L10" s="14" t="n">
        <x:v>120.9842</x:v>
      </x:c>
      <x:c r="M10" s="13" t="str">
        <x:v>SYNTHETIC_CALCULATED</x:v>
      </x:c>
      <x:c r="N10" s="13" t="str">
        <x:v>DRAFT</x:v>
      </x:c>
      <x:c r="O10" s="13" t="str">
        <x:v>2026-09-02</x:v>
      </x:c>
    </x:row>
    <x:row r="11">
      <x:c r="A11" s="13" t="str">
        <x:v>NET-C110</x:v>
      </x:c>
      <x:c r="B11" s="13" t="str">
        <x:v>SYNTH-20260902-V1</x:v>
      </x:c>
      <x:c r="C11" s="13" t="str">
        <x:v>DSE</x:v>
      </x:c>
      <x:c r="D11" s="13" t="str">
        <x:v>C110</x:v>
      </x:c>
      <x:c r="E11" s="13" t="str">
        <x:v>V114</x:v>
      </x:c>
      <x:c r="F11" s="13" t="str">
        <x:v>싱가포르</x:v>
      </x:c>
      <x:c r="G11" s="13" t="str">
        <x:v>SPOKE</x:v>
      </x:c>
      <x:c r="H11" s="13" t="n">
        <x:v>2</x:v>
      </x:c>
      <x:c r="I11" s="13" t="str">
        <x:v>V110</x:v>
      </x:c>
      <x:c r="J11" s="13" t="str">
        <x:v>싱가포르</x:v>
      </x:c>
      <x:c r="K11" s="14" t="n">
        <x:v>1.3521</x:v>
      </x:c>
      <x:c r="L11" s="14" t="n">
        <x:v>103.8198</x:v>
      </x:c>
      <x:c r="M11" s="13" t="str">
        <x:v>SYNTHETIC_CALCULATED</x:v>
      </x:c>
      <x:c r="N11" s="13" t="str">
        <x:v>DRAFT</x:v>
      </x:c>
      <x:c r="O11" s="13" t="str">
        <x:v>2026-09-02</x:v>
      </x:c>
    </x:row>
    <x:row r="12">
      <x:c r="A12" s="13" t="str">
        <x:v>NET-C120</x:v>
      </x:c>
      <x:c r="B12" s="13" t="str">
        <x:v>SYNTH-20260902-V1</x:v>
      </x:c>
      <x:c r="C12" s="13" t="str">
        <x:v>DSE</x:v>
      </x:c>
      <x:c r="D12" s="13" t="str">
        <x:v>C120</x:v>
      </x:c>
      <x:c r="E12" s="13" t="str">
        <x:v>V120</x:v>
      </x:c>
      <x:c r="F12" s="13" t="str">
        <x:v>러시아</x:v>
      </x:c>
      <x:c r="G12" s="13" t="str">
        <x:v>HUB_WITH_LOCAL_DEMAND</x:v>
      </x:c>
      <x:c r="H12" s="13" t="n">
        <x:v>1</x:v>
      </x:c>
      <x:c r="I12" s="13" t="str"/>
      <x:c r="J12" s="13" t="str">
        <x:v>모스크바</x:v>
      </x:c>
      <x:c r="K12" s="14" t="n">
        <x:v>55.7558</x:v>
      </x:c>
      <x:c r="L12" s="14" t="n">
        <x:v>37.6173</x:v>
      </x:c>
      <x:c r="M12" s="13" t="str">
        <x:v>SYNTHETIC_CALCULATED</x:v>
      </x:c>
      <x:c r="N12" s="13" t="str">
        <x:v>DRAFT</x:v>
      </x:c>
      <x:c r="O12" s="13" t="str">
        <x:v>2026-09-02</x:v>
      </x:c>
    </x:row>
    <x:row r="13">
      <x:c r="A13" s="13" t="str">
        <x:v>NET-C120</x:v>
      </x:c>
      <x:c r="B13" s="13" t="str">
        <x:v>SYNTH-20260902-V1</x:v>
      </x:c>
      <x:c r="C13" s="13" t="str">
        <x:v>DSE</x:v>
      </x:c>
      <x:c r="D13" s="13" t="str">
        <x:v>C120</x:v>
      </x:c>
      <x:c r="E13" s="13" t="str">
        <x:v>V121</x:v>
      </x:c>
      <x:c r="F13" s="13" t="str">
        <x:v>카자흐스탄</x:v>
      </x:c>
      <x:c r="G13" s="13" t="str">
        <x:v>SPOKE</x:v>
      </x:c>
      <x:c r="H13" s="13" t="n">
        <x:v>2</x:v>
      </x:c>
      <x:c r="I13" s="13" t="str">
        <x:v>V120</x:v>
      </x:c>
      <x:c r="J13" s="13" t="str">
        <x:v>알마티</x:v>
      </x:c>
      <x:c r="K13" s="14" t="n">
        <x:v>43.222</x:v>
      </x:c>
      <x:c r="L13" s="14" t="n">
        <x:v>76.8512</x:v>
      </x:c>
      <x:c r="M13" s="13" t="str">
        <x:v>SYNTHETIC_CALCULATED</x:v>
      </x:c>
      <x:c r="N13" s="13" t="str">
        <x:v>DRAFT</x:v>
      </x:c>
      <x:c r="O13" s="13" t="str">
        <x:v>2026-09-02</x:v>
      </x:c>
    </x:row>
    <x:row r="14">
      <x:c r="A14" s="13" t="str">
        <x:v>NET-C120</x:v>
      </x:c>
      <x:c r="B14" s="13" t="str">
        <x:v>SYNTH-20260902-V1</x:v>
      </x:c>
      <x:c r="C14" s="13" t="str">
        <x:v>DSE</x:v>
      </x:c>
      <x:c r="D14" s="13" t="str">
        <x:v>C120</x:v>
      </x:c>
      <x:c r="E14" s="13" t="str">
        <x:v>V122</x:v>
      </x:c>
      <x:c r="F14" s="13" t="str">
        <x:v>우즈베키스탄</x:v>
      </x:c>
      <x:c r="G14" s="13" t="str">
        <x:v>SPOKE</x:v>
      </x:c>
      <x:c r="H14" s="13" t="n">
        <x:v>2</x:v>
      </x:c>
      <x:c r="I14" s="13" t="str">
        <x:v>V120</x:v>
      </x:c>
      <x:c r="J14" s="13" t="str">
        <x:v>타슈켄트</x:v>
      </x:c>
      <x:c r="K14" s="14" t="n">
        <x:v>41.2995</x:v>
      </x:c>
      <x:c r="L14" s="14" t="n">
        <x:v>69.2401</x:v>
      </x:c>
      <x:c r="M14" s="13" t="str">
        <x:v>SYNTHETIC_CALCULATED</x:v>
      </x:c>
      <x:c r="N14" s="13" t="str">
        <x:v>DRAFT</x:v>
      </x:c>
      <x:c r="O14" s="13" t="str">
        <x:v>2026-09-02</x:v>
      </x:c>
    </x:row>
    <x:row r="15">
      <x:c r="A15" s="13" t="str">
        <x:v>NET-C120</x:v>
      </x:c>
      <x:c r="B15" s="13" t="str">
        <x:v>SYNTH-20260902-V1</x:v>
      </x:c>
      <x:c r="C15" s="13" t="str">
        <x:v>DSE</x:v>
      </x:c>
      <x:c r="D15" s="13" t="str">
        <x:v>C120</x:v>
      </x:c>
      <x:c r="E15" s="13" t="str">
        <x:v>V123</x:v>
      </x:c>
      <x:c r="F15" s="13" t="str">
        <x:v>몽골</x:v>
      </x:c>
      <x:c r="G15" s="13" t="str">
        <x:v>SPOKE</x:v>
      </x:c>
      <x:c r="H15" s="13" t="n">
        <x:v>2</x:v>
      </x:c>
      <x:c r="I15" s="13" t="str">
        <x:v>V120</x:v>
      </x:c>
      <x:c r="J15" s="13" t="str">
        <x:v>울란바토르</x:v>
      </x:c>
      <x:c r="K15" s="14" t="n">
        <x:v>47.8864</x:v>
      </x:c>
      <x:c r="L15" s="14" t="n">
        <x:v>106.9057</x:v>
      </x:c>
      <x:c r="M15" s="13" t="str">
        <x:v>SYNTHETIC_CALCULATED</x:v>
      </x:c>
      <x:c r="N15" s="13" t="str">
        <x:v>DRAFT</x:v>
      </x:c>
      <x:c r="O15" s="13" t="str">
        <x:v>2026-09-02</x:v>
      </x:c>
    </x:row>
    <x:row r="16">
      <x:c r="A16" s="13" t="str">
        <x:v>NET-C120</x:v>
      </x:c>
      <x:c r="B16" s="13" t="str">
        <x:v>SYNTH-20260902-V1</x:v>
      </x:c>
      <x:c r="C16" s="13" t="str">
        <x:v>DSE</x:v>
      </x:c>
      <x:c r="D16" s="13" t="str">
        <x:v>C120</x:v>
      </x:c>
      <x:c r="E16" s="13" t="str">
        <x:v>V124</x:v>
      </x:c>
      <x:c r="F16" s="13" t="str">
        <x:v>벨라루스</x:v>
      </x:c>
      <x:c r="G16" s="13" t="str">
        <x:v>SPOKE</x:v>
      </x:c>
      <x:c r="H16" s="13" t="n">
        <x:v>2</x:v>
      </x:c>
      <x:c r="I16" s="13" t="str">
        <x:v>V120</x:v>
      </x:c>
      <x:c r="J16" s="13" t="str">
        <x:v>민스크</x:v>
      </x:c>
      <x:c r="K16" s="14" t="n">
        <x:v>53.9006</x:v>
      </x:c>
      <x:c r="L16" s="14" t="n">
        <x:v>27.559</x:v>
      </x:c>
      <x:c r="M16" s="13" t="str">
        <x:v>SYNTHETIC_CALCULATED</x:v>
      </x:c>
      <x:c r="N16" s="13" t="str">
        <x:v>DRAFT</x:v>
      </x:c>
      <x:c r="O16" s="13" t="str">
        <x:v>2026-09-02</x:v>
      </x:c>
    </x:row>
    <x:row r="17">
      <x:c r="A17" s="13" t="str">
        <x:v>NET-C130</x:v>
      </x:c>
      <x:c r="B17" s="13" t="str">
        <x:v>SYNTH-20260902-V1</x:v>
      </x:c>
      <x:c r="C17" s="13" t="str">
        <x:v>DSE</x:v>
      </x:c>
      <x:c r="D17" s="13" t="str">
        <x:v>C130</x:v>
      </x:c>
      <x:c r="E17" s="13" t="str">
        <x:v>V130</x:v>
      </x:c>
      <x:c r="F17" s="13" t="str">
        <x:v>폴란드</x:v>
      </x:c>
      <x:c r="G17" s="13" t="str">
        <x:v>HUB_WITH_LOCAL_DEMAND</x:v>
      </x:c>
      <x:c r="H17" s="13" t="n">
        <x:v>1</x:v>
      </x:c>
      <x:c r="I17" s="13" t="str"/>
      <x:c r="J17" s="13" t="str">
        <x:v>바르샤바</x:v>
      </x:c>
      <x:c r="K17" s="14" t="n">
        <x:v>52.2297</x:v>
      </x:c>
      <x:c r="L17" s="14" t="n">
        <x:v>21.0122</x:v>
      </x:c>
      <x:c r="M17" s="13" t="str">
        <x:v>SYNTHETIC_CALCULATED</x:v>
      </x:c>
      <x:c r="N17" s="13" t="str">
        <x:v>DRAFT</x:v>
      </x:c>
      <x:c r="O17" s="13" t="str">
        <x:v>2026-09-02</x:v>
      </x:c>
    </x:row>
    <x:row r="18">
      <x:c r="A18" s="13" t="str">
        <x:v>NET-C130</x:v>
      </x:c>
      <x:c r="B18" s="13" t="str">
        <x:v>SYNTH-20260902-V1</x:v>
      </x:c>
      <x:c r="C18" s="13" t="str">
        <x:v>DSE</x:v>
      </x:c>
      <x:c r="D18" s="13" t="str">
        <x:v>C130</x:v>
      </x:c>
      <x:c r="E18" s="13" t="str">
        <x:v>V131</x:v>
      </x:c>
      <x:c r="F18" s="13" t="str">
        <x:v>체코</x:v>
      </x:c>
      <x:c r="G18" s="13" t="str">
        <x:v>SPOKE</x:v>
      </x:c>
      <x:c r="H18" s="13" t="n">
        <x:v>2</x:v>
      </x:c>
      <x:c r="I18" s="13" t="str">
        <x:v>V130</x:v>
      </x:c>
      <x:c r="J18" s="13" t="str">
        <x:v>프라하</x:v>
      </x:c>
      <x:c r="K18" s="14" t="n">
        <x:v>50.0755</x:v>
      </x:c>
      <x:c r="L18" s="14" t="n">
        <x:v>14.4378</x:v>
      </x:c>
      <x:c r="M18" s="13" t="str">
        <x:v>SYNTHETIC_CALCULATED</x:v>
      </x:c>
      <x:c r="N18" s="13" t="str">
        <x:v>DRAFT</x:v>
      </x:c>
      <x:c r="O18" s="13" t="str">
        <x:v>2026-09-02</x:v>
      </x:c>
    </x:row>
    <x:row r="19">
      <x:c r="A19" s="13" t="str">
        <x:v>NET-C130</x:v>
      </x:c>
      <x:c r="B19" s="13" t="str">
        <x:v>SYNTH-20260902-V1</x:v>
      </x:c>
      <x:c r="C19" s="13" t="str">
        <x:v>DSE</x:v>
      </x:c>
      <x:c r="D19" s="13" t="str">
        <x:v>C130</x:v>
      </x:c>
      <x:c r="E19" s="13" t="str">
        <x:v>V132</x:v>
      </x:c>
      <x:c r="F19" s="13" t="str">
        <x:v>헝가리</x:v>
      </x:c>
      <x:c r="G19" s="13" t="str">
        <x:v>SPOKE</x:v>
      </x:c>
      <x:c r="H19" s="13" t="n">
        <x:v>2</x:v>
      </x:c>
      <x:c r="I19" s="13" t="str">
        <x:v>V130</x:v>
      </x:c>
      <x:c r="J19" s="13" t="str">
        <x:v>부다페스트</x:v>
      </x:c>
      <x:c r="K19" s="14" t="n">
        <x:v>47.4979</x:v>
      </x:c>
      <x:c r="L19" s="14" t="n">
        <x:v>19.0402</x:v>
      </x:c>
      <x:c r="M19" s="13" t="str">
        <x:v>SYNTHETIC_CALCULATED</x:v>
      </x:c>
      <x:c r="N19" s="13" t="str">
        <x:v>DRAFT</x:v>
      </x:c>
      <x:c r="O19" s="13" t="str">
        <x:v>2026-09-02</x:v>
      </x:c>
    </x:row>
    <x:row r="20">
      <x:c r="A20" s="13" t="str">
        <x:v>NET-C130</x:v>
      </x:c>
      <x:c r="B20" s="13" t="str">
        <x:v>SYNTH-20260902-V1</x:v>
      </x:c>
      <x:c r="C20" s="13" t="str">
        <x:v>DSE</x:v>
      </x:c>
      <x:c r="D20" s="13" t="str">
        <x:v>C130</x:v>
      </x:c>
      <x:c r="E20" s="13" t="str">
        <x:v>V133</x:v>
      </x:c>
      <x:c r="F20" s="13" t="str">
        <x:v>루마니아</x:v>
      </x:c>
      <x:c r="G20" s="13" t="str">
        <x:v>SPOKE</x:v>
      </x:c>
      <x:c r="H20" s="13" t="n">
        <x:v>2</x:v>
      </x:c>
      <x:c r="I20" s="13" t="str">
        <x:v>V130</x:v>
      </x:c>
      <x:c r="J20" s="13" t="str">
        <x:v>부쿠레슈티</x:v>
      </x:c>
      <x:c r="K20" s="14" t="n">
        <x:v>44.4268</x:v>
      </x:c>
      <x:c r="L20" s="14" t="n">
        <x:v>26.1025</x:v>
      </x:c>
      <x:c r="M20" s="13" t="str">
        <x:v>SYNTHETIC_CALCULATED</x:v>
      </x:c>
      <x:c r="N20" s="13" t="str">
        <x:v>DRAFT</x:v>
      </x:c>
      <x:c r="O20" s="13" t="str">
        <x:v>2026-09-02</x:v>
      </x:c>
    </x:row>
    <x:row r="21">
      <x:c r="A21" s="13" t="str">
        <x:v>NET-C130</x:v>
      </x:c>
      <x:c r="B21" s="13" t="str">
        <x:v>SYNTH-20260902-V1</x:v>
      </x:c>
      <x:c r="C21" s="13" t="str">
        <x:v>DSE</x:v>
      </x:c>
      <x:c r="D21" s="13" t="str">
        <x:v>C130</x:v>
      </x:c>
      <x:c r="E21" s="13" t="str">
        <x:v>V134</x:v>
      </x:c>
      <x:c r="F21" s="13" t="str">
        <x:v>우크라이나</x:v>
      </x:c>
      <x:c r="G21" s="13" t="str">
        <x:v>SPOKE</x:v>
      </x:c>
      <x:c r="H21" s="13" t="n">
        <x:v>2</x:v>
      </x:c>
      <x:c r="I21" s="13" t="str">
        <x:v>V130</x:v>
      </x:c>
      <x:c r="J21" s="13" t="str">
        <x:v>키이우</x:v>
      </x:c>
      <x:c r="K21" s="14" t="n">
        <x:v>50.4501</x:v>
      </x:c>
      <x:c r="L21" s="14" t="n">
        <x:v>30.5234</x:v>
      </x:c>
      <x:c r="M21" s="13" t="str">
        <x:v>SYNTHETIC_CALCULATED</x:v>
      </x:c>
      <x:c r="N21" s="13" t="str">
        <x:v>DRAFT</x:v>
      </x:c>
      <x:c r="O21" s="13" t="str">
        <x:v>2026-09-02</x:v>
      </x:c>
    </x:row>
    <x:row r="22">
      <x:c r="A22" s="13" t="str">
        <x:v>NET-C140</x:v>
      </x:c>
      <x:c r="B22" s="13" t="str">
        <x:v>SYNTH-20260902-V1</x:v>
      </x:c>
      <x:c r="C22" s="13" t="str">
        <x:v>DSE</x:v>
      </x:c>
      <x:c r="D22" s="13" t="str">
        <x:v>C140</x:v>
      </x:c>
      <x:c r="E22" s="13" t="str">
        <x:v>V140</x:v>
      </x:c>
      <x:c r="F22" s="13" t="str">
        <x:v>영국</x:v>
      </x:c>
      <x:c r="G22" s="13" t="str">
        <x:v>HUB_WITH_LOCAL_DEMAND</x:v>
      </x:c>
      <x:c r="H22" s="13" t="n">
        <x:v>1</x:v>
      </x:c>
      <x:c r="I22" s="13" t="str"/>
      <x:c r="J22" s="13" t="str">
        <x:v>런던</x:v>
      </x:c>
      <x:c r="K22" s="14" t="n">
        <x:v>51.5074</x:v>
      </x:c>
      <x:c r="L22" s="14" t="n">
        <x:v>-0.1278</x:v>
      </x:c>
      <x:c r="M22" s="13" t="str">
        <x:v>SYNTHETIC_CALCULATED</x:v>
      </x:c>
      <x:c r="N22" s="13" t="str">
        <x:v>DRAFT</x:v>
      </x:c>
      <x:c r="O22" s="13" t="str">
        <x:v>2026-09-02</x:v>
      </x:c>
    </x:row>
    <x:row r="23">
      <x:c r="A23" s="13" t="str">
        <x:v>NET-C140</x:v>
      </x:c>
      <x:c r="B23" s="13" t="str">
        <x:v>SYNTH-20260902-V1</x:v>
      </x:c>
      <x:c r="C23" s="13" t="str">
        <x:v>DSE</x:v>
      </x:c>
      <x:c r="D23" s="13" t="str">
        <x:v>C140</x:v>
      </x:c>
      <x:c r="E23" s="13" t="str">
        <x:v>V141</x:v>
      </x:c>
      <x:c r="F23" s="13" t="str">
        <x:v>독일</x:v>
      </x:c>
      <x:c r="G23" s="13" t="str">
        <x:v>SPOKE</x:v>
      </x:c>
      <x:c r="H23" s="13" t="n">
        <x:v>2</x:v>
      </x:c>
      <x:c r="I23" s="13" t="str">
        <x:v>V140</x:v>
      </x:c>
      <x:c r="J23" s="13" t="str">
        <x:v>프랑크푸르트</x:v>
      </x:c>
      <x:c r="K23" s="14" t="n">
        <x:v>50.1109</x:v>
      </x:c>
      <x:c r="L23" s="14" t="n">
        <x:v>8.6821</x:v>
      </x:c>
      <x:c r="M23" s="13" t="str">
        <x:v>SYNTHETIC_CALCULATED</x:v>
      </x:c>
      <x:c r="N23" s="13" t="str">
        <x:v>DRAFT</x:v>
      </x:c>
      <x:c r="O23" s="13" t="str">
        <x:v>2026-09-02</x:v>
      </x:c>
    </x:row>
    <x:row r="24">
      <x:c r="A24" s="13" t="str">
        <x:v>NET-C140</x:v>
      </x:c>
      <x:c r="B24" s="13" t="str">
        <x:v>SYNTH-20260902-V1</x:v>
      </x:c>
      <x:c r="C24" s="13" t="str">
        <x:v>DSE</x:v>
      </x:c>
      <x:c r="D24" s="13" t="str">
        <x:v>C140</x:v>
      </x:c>
      <x:c r="E24" s="13" t="str">
        <x:v>V142</x:v>
      </x:c>
      <x:c r="F24" s="13" t="str">
        <x:v>프랑스</x:v>
      </x:c>
      <x:c r="G24" s="13" t="str">
        <x:v>SPOKE</x:v>
      </x:c>
      <x:c r="H24" s="13" t="n">
        <x:v>2</x:v>
      </x:c>
      <x:c r="I24" s="13" t="str">
        <x:v>V140</x:v>
      </x:c>
      <x:c r="J24" s="13" t="str">
        <x:v>파리</x:v>
      </x:c>
      <x:c r="K24" s="14" t="n">
        <x:v>48.8566</x:v>
      </x:c>
      <x:c r="L24" s="14" t="n">
        <x:v>2.3522</x:v>
      </x:c>
      <x:c r="M24" s="13" t="str">
        <x:v>SYNTHETIC_CALCULATED</x:v>
      </x:c>
      <x:c r="N24" s="13" t="str">
        <x:v>DRAFT</x:v>
      </x:c>
      <x:c r="O24" s="13" t="str">
        <x:v>2026-09-02</x:v>
      </x:c>
    </x:row>
    <x:row r="25">
      <x:c r="A25" s="13" t="str">
        <x:v>NET-C140</x:v>
      </x:c>
      <x:c r="B25" s="13" t="str">
        <x:v>SYNTH-20260902-V1</x:v>
      </x:c>
      <x:c r="C25" s="13" t="str">
        <x:v>DSE</x:v>
      </x:c>
      <x:c r="D25" s="13" t="str">
        <x:v>C140</x:v>
      </x:c>
      <x:c r="E25" s="13" t="str">
        <x:v>V143</x:v>
      </x:c>
      <x:c r="F25" s="13" t="str">
        <x:v>네덜란드</x:v>
      </x:c>
      <x:c r="G25" s="13" t="str">
        <x:v>SPOKE</x:v>
      </x:c>
      <x:c r="H25" s="13" t="n">
        <x:v>2</x:v>
      </x:c>
      <x:c r="I25" s="13" t="str">
        <x:v>V140</x:v>
      </x:c>
      <x:c r="J25" s="13" t="str">
        <x:v>로테르담</x:v>
      </x:c>
      <x:c r="K25" s="14" t="n">
        <x:v>51.9244</x:v>
      </x:c>
      <x:c r="L25" s="14" t="n">
        <x:v>4.4777</x:v>
      </x:c>
      <x:c r="M25" s="13" t="str">
        <x:v>SYNTHETIC_CALCULATED</x:v>
      </x:c>
      <x:c r="N25" s="13" t="str">
        <x:v>DRAFT</x:v>
      </x:c>
      <x:c r="O25" s="13" t="str">
        <x:v>2026-09-02</x:v>
      </x:c>
    </x:row>
    <x:row r="26">
      <x:c r="A26" s="13" t="str">
        <x:v>NET-C140</x:v>
      </x:c>
      <x:c r="B26" s="13" t="str">
        <x:v>SYNTH-20260902-V1</x:v>
      </x:c>
      <x:c r="C26" s="13" t="str">
        <x:v>DSE</x:v>
      </x:c>
      <x:c r="D26" s="13" t="str">
        <x:v>C140</x:v>
      </x:c>
      <x:c r="E26" s="13" t="str">
        <x:v>V144</x:v>
      </x:c>
      <x:c r="F26" s="13" t="str">
        <x:v>스위스</x:v>
      </x:c>
      <x:c r="G26" s="13" t="str">
        <x:v>SPOKE</x:v>
      </x:c>
      <x:c r="H26" s="13" t="n">
        <x:v>2</x:v>
      </x:c>
      <x:c r="I26" s="13" t="str">
        <x:v>V140</x:v>
      </x:c>
      <x:c r="J26" s="13" t="str">
        <x:v>취리히</x:v>
      </x:c>
      <x:c r="K26" s="14" t="n">
        <x:v>47.3769</x:v>
      </x:c>
      <x:c r="L26" s="14" t="n">
        <x:v>8.5417</x:v>
      </x:c>
      <x:c r="M26" s="13" t="str">
        <x:v>SYNTHETIC_CALCULATED</x:v>
      </x:c>
      <x:c r="N26" s="13" t="str">
        <x:v>DRAFT</x:v>
      </x:c>
      <x:c r="O26" s="13" t="str">
        <x:v>2026-09-02</x:v>
      </x:c>
    </x:row>
    <x:row r="27">
      <x:c r="A27" s="13" t="str">
        <x:v>NET-C150</x:v>
      </x:c>
      <x:c r="B27" s="13" t="str">
        <x:v>SYNTH-20260902-V1</x:v>
      </x:c>
      <x:c r="C27" s="13" t="str">
        <x:v>DSE</x:v>
      </x:c>
      <x:c r="D27" s="13" t="str">
        <x:v>C150</x:v>
      </x:c>
      <x:c r="E27" s="13" t="str">
        <x:v>V150</x:v>
      </x:c>
      <x:c r="F27" s="13" t="str">
        <x:v>이탈리아</x:v>
      </x:c>
      <x:c r="G27" s="13" t="str">
        <x:v>HUB_WITH_LOCAL_DEMAND</x:v>
      </x:c>
      <x:c r="H27" s="13" t="n">
        <x:v>1</x:v>
      </x:c>
      <x:c r="I27" s="13" t="str"/>
      <x:c r="J27" s="13" t="str">
        <x:v>밀라노</x:v>
      </x:c>
      <x:c r="K27" s="14" t="n">
        <x:v>45.4642</x:v>
      </x:c>
      <x:c r="L27" s="14" t="n">
        <x:v>9.19</x:v>
      </x:c>
      <x:c r="M27" s="13" t="str">
        <x:v>SYNTHETIC_CALCULATED</x:v>
      </x:c>
      <x:c r="N27" s="13" t="str">
        <x:v>DRAFT</x:v>
      </x:c>
      <x:c r="O27" s="13" t="str">
        <x:v>2026-09-02</x:v>
      </x:c>
    </x:row>
    <x:row r="28">
      <x:c r="A28" s="13" t="str">
        <x:v>NET-C150</x:v>
      </x:c>
      <x:c r="B28" s="13" t="str">
        <x:v>SYNTH-20260902-V1</x:v>
      </x:c>
      <x:c r="C28" s="13" t="str">
        <x:v>DSE</x:v>
      </x:c>
      <x:c r="D28" s="13" t="str">
        <x:v>C150</x:v>
      </x:c>
      <x:c r="E28" s="13" t="str">
        <x:v>V151</x:v>
      </x:c>
      <x:c r="F28" s="13" t="str">
        <x:v>스페인</x:v>
      </x:c>
      <x:c r="G28" s="13" t="str">
        <x:v>SPOKE</x:v>
      </x:c>
      <x:c r="H28" s="13" t="n">
        <x:v>2</x:v>
      </x:c>
      <x:c r="I28" s="13" t="str">
        <x:v>V150</x:v>
      </x:c>
      <x:c r="J28" s="13" t="str">
        <x:v>마드리드</x:v>
      </x:c>
      <x:c r="K28" s="14" t="n">
        <x:v>40.4168</x:v>
      </x:c>
      <x:c r="L28" s="14" t="n">
        <x:v>-3.7038</x:v>
      </x:c>
      <x:c r="M28" s="13" t="str">
        <x:v>SYNTHETIC_CALCULATED</x:v>
      </x:c>
      <x:c r="N28" s="13" t="str">
        <x:v>DRAFT</x:v>
      </x:c>
      <x:c r="O28" s="13" t="str">
        <x:v>2026-09-02</x:v>
      </x:c>
    </x:row>
    <x:row r="29">
      <x:c r="A29" s="13" t="str">
        <x:v>NET-C150</x:v>
      </x:c>
      <x:c r="B29" s="13" t="str">
        <x:v>SYNTH-20260902-V1</x:v>
      </x:c>
      <x:c r="C29" s="13" t="str">
        <x:v>DSE</x:v>
      </x:c>
      <x:c r="D29" s="13" t="str">
        <x:v>C150</x:v>
      </x:c>
      <x:c r="E29" s="13" t="str">
        <x:v>V152</x:v>
      </x:c>
      <x:c r="F29" s="13" t="str">
        <x:v>그리스</x:v>
      </x:c>
      <x:c r="G29" s="13" t="str">
        <x:v>SPOKE</x:v>
      </x:c>
      <x:c r="H29" s="13" t="n">
        <x:v>2</x:v>
      </x:c>
      <x:c r="I29" s="13" t="str">
        <x:v>V150</x:v>
      </x:c>
      <x:c r="J29" s="13" t="str">
        <x:v>아테네</x:v>
      </x:c>
      <x:c r="K29" s="14" t="n">
        <x:v>37.9838</x:v>
      </x:c>
      <x:c r="L29" s="14" t="n">
        <x:v>23.7275</x:v>
      </x:c>
      <x:c r="M29" s="13" t="str">
        <x:v>SYNTHETIC_CALCULATED</x:v>
      </x:c>
      <x:c r="N29" s="13" t="str">
        <x:v>DRAFT</x:v>
      </x:c>
      <x:c r="O29" s="13" t="str">
        <x:v>2026-09-02</x:v>
      </x:c>
    </x:row>
    <x:row r="30">
      <x:c r="A30" s="13" t="str">
        <x:v>NET-C150</x:v>
      </x:c>
      <x:c r="B30" s="13" t="str">
        <x:v>SYNTH-20260902-V1</x:v>
      </x:c>
      <x:c r="C30" s="13" t="str">
        <x:v>DSE</x:v>
      </x:c>
      <x:c r="D30" s="13" t="str">
        <x:v>C150</x:v>
      </x:c>
      <x:c r="E30" s="13" t="str">
        <x:v>V153</x:v>
      </x:c>
      <x:c r="F30" s="13" t="str">
        <x:v>포르투갈</x:v>
      </x:c>
      <x:c r="G30" s="13" t="str">
        <x:v>SPOKE</x:v>
      </x:c>
      <x:c r="H30" s="13" t="n">
        <x:v>2</x:v>
      </x:c>
      <x:c r="I30" s="13" t="str">
        <x:v>V150</x:v>
      </x:c>
      <x:c r="J30" s="13" t="str">
        <x:v>리스본</x:v>
      </x:c>
      <x:c r="K30" s="14" t="n">
        <x:v>38.7223</x:v>
      </x:c>
      <x:c r="L30" s="14" t="n">
        <x:v>-9.1393</x:v>
      </x:c>
      <x:c r="M30" s="13" t="str">
        <x:v>SYNTHETIC_CALCULATED</x:v>
      </x:c>
      <x:c r="N30" s="13" t="str">
        <x:v>DRAFT</x:v>
      </x:c>
      <x:c r="O30" s="13" t="str">
        <x:v>2026-09-02</x:v>
      </x:c>
    </x:row>
    <x:row r="31">
      <x:c r="A31" s="13" t="str">
        <x:v>NET-C150</x:v>
      </x:c>
      <x:c r="B31" s="13" t="str">
        <x:v>SYNTH-20260902-V1</x:v>
      </x:c>
      <x:c r="C31" s="13" t="str">
        <x:v>DSE</x:v>
      </x:c>
      <x:c r="D31" s="13" t="str">
        <x:v>C150</x:v>
      </x:c>
      <x:c r="E31" s="13" t="str">
        <x:v>V154</x:v>
      </x:c>
      <x:c r="F31" s="13" t="str">
        <x:v>튀르키예</x:v>
      </x:c>
      <x:c r="G31" s="13" t="str">
        <x:v>SPOKE</x:v>
      </x:c>
      <x:c r="H31" s="13" t="n">
        <x:v>2</x:v>
      </x:c>
      <x:c r="I31" s="13" t="str">
        <x:v>V150</x:v>
      </x:c>
      <x:c r="J31" s="13" t="str">
        <x:v>이스탄불</x:v>
      </x:c>
      <x:c r="K31" s="14" t="n">
        <x:v>41.0082</x:v>
      </x:c>
      <x:c r="L31" s="14" t="n">
        <x:v>28.9784</x:v>
      </x:c>
      <x:c r="M31" s="13" t="str">
        <x:v>SYNTHETIC_CALCULATED</x:v>
      </x:c>
      <x:c r="N31" s="13" t="str">
        <x:v>DRAFT</x:v>
      </x:c>
      <x:c r="O31" s="13" t="str">
        <x:v>2026-09-02</x:v>
      </x:c>
    </x:row>
    <x:row r="32">
      <x:c r="A32" s="13" t="str">
        <x:v>NET-C160</x:v>
      </x:c>
      <x:c r="B32" s="13" t="str">
        <x:v>SYNTH-20260902-V1</x:v>
      </x:c>
      <x:c r="C32" s="13" t="str">
        <x:v>DSE</x:v>
      </x:c>
      <x:c r="D32" s="13" t="str">
        <x:v>C160</x:v>
      </x:c>
      <x:c r="E32" s="13" t="str">
        <x:v>V160</x:v>
      </x:c>
      <x:c r="F32" s="13" t="str">
        <x:v>스웨덴</x:v>
      </x:c>
      <x:c r="G32" s="13" t="str">
        <x:v>HUB_WITH_LOCAL_DEMAND</x:v>
      </x:c>
      <x:c r="H32" s="13" t="n">
        <x:v>1</x:v>
      </x:c>
      <x:c r="I32" s="13" t="str"/>
      <x:c r="J32" s="13" t="str">
        <x:v>스톡홀름</x:v>
      </x:c>
      <x:c r="K32" s="14" t="n">
        <x:v>59.3293</x:v>
      </x:c>
      <x:c r="L32" s="14" t="n">
        <x:v>18.0686</x:v>
      </x:c>
      <x:c r="M32" s="13" t="str">
        <x:v>SYNTHETIC_CALCULATED</x:v>
      </x:c>
      <x:c r="N32" s="13" t="str">
        <x:v>DRAFT</x:v>
      </x:c>
      <x:c r="O32" s="13" t="str">
        <x:v>2026-09-02</x:v>
      </x:c>
    </x:row>
    <x:row r="33">
      <x:c r="A33" s="13" t="str">
        <x:v>NET-C160</x:v>
      </x:c>
      <x:c r="B33" s="13" t="str">
        <x:v>SYNTH-20260902-V1</x:v>
      </x:c>
      <x:c r="C33" s="13" t="str">
        <x:v>DSE</x:v>
      </x:c>
      <x:c r="D33" s="13" t="str">
        <x:v>C160</x:v>
      </x:c>
      <x:c r="E33" s="13" t="str">
        <x:v>V161</x:v>
      </x:c>
      <x:c r="F33" s="13" t="str">
        <x:v>노르웨이</x:v>
      </x:c>
      <x:c r="G33" s="13" t="str">
        <x:v>SPOKE</x:v>
      </x:c>
      <x:c r="H33" s="13" t="n">
        <x:v>2</x:v>
      </x:c>
      <x:c r="I33" s="13" t="str">
        <x:v>V160</x:v>
      </x:c>
      <x:c r="J33" s="13" t="str">
        <x:v>오슬로</x:v>
      </x:c>
      <x:c r="K33" s="14" t="n">
        <x:v>59.9139</x:v>
      </x:c>
      <x:c r="L33" s="14" t="n">
        <x:v>10.7522</x:v>
      </x:c>
      <x:c r="M33" s="13" t="str">
        <x:v>SYNTHETIC_CALCULATED</x:v>
      </x:c>
      <x:c r="N33" s="13" t="str">
        <x:v>DRAFT</x:v>
      </x:c>
      <x:c r="O33" s="13" t="str">
        <x:v>2026-09-02</x:v>
      </x:c>
    </x:row>
    <x:row r="34">
      <x:c r="A34" s="13" t="str">
        <x:v>NET-C160</x:v>
      </x:c>
      <x:c r="B34" s="13" t="str">
        <x:v>SYNTH-20260902-V1</x:v>
      </x:c>
      <x:c r="C34" s="13" t="str">
        <x:v>DSE</x:v>
      </x:c>
      <x:c r="D34" s="13" t="str">
        <x:v>C160</x:v>
      </x:c>
      <x:c r="E34" s="13" t="str">
        <x:v>V162</x:v>
      </x:c>
      <x:c r="F34" s="13" t="str">
        <x:v>덴마크</x:v>
      </x:c>
      <x:c r="G34" s="13" t="str">
        <x:v>SPOKE</x:v>
      </x:c>
      <x:c r="H34" s="13" t="n">
        <x:v>2</x:v>
      </x:c>
      <x:c r="I34" s="13" t="str">
        <x:v>V160</x:v>
      </x:c>
      <x:c r="J34" s="13" t="str">
        <x:v>코펜하겐</x:v>
      </x:c>
      <x:c r="K34" s="14" t="n">
        <x:v>55.6761</x:v>
      </x:c>
      <x:c r="L34" s="14" t="n">
        <x:v>12.5683</x:v>
      </x:c>
      <x:c r="M34" s="13" t="str">
        <x:v>SYNTHETIC_CALCULATED</x:v>
      </x:c>
      <x:c r="N34" s="13" t="str">
        <x:v>DRAFT</x:v>
      </x:c>
      <x:c r="O34" s="13" t="str">
        <x:v>2026-09-02</x:v>
      </x:c>
    </x:row>
    <x:row r="35">
      <x:c r="A35" s="13" t="str">
        <x:v>NET-C160</x:v>
      </x:c>
      <x:c r="B35" s="13" t="str">
        <x:v>SYNTH-20260902-V1</x:v>
      </x:c>
      <x:c r="C35" s="13" t="str">
        <x:v>DSE</x:v>
      </x:c>
      <x:c r="D35" s="13" t="str">
        <x:v>C160</x:v>
      </x:c>
      <x:c r="E35" s="13" t="str">
        <x:v>V163</x:v>
      </x:c>
      <x:c r="F35" s="13" t="str">
        <x:v>핀란드</x:v>
      </x:c>
      <x:c r="G35" s="13" t="str">
        <x:v>SPOKE</x:v>
      </x:c>
      <x:c r="H35" s="13" t="n">
        <x:v>2</x:v>
      </x:c>
      <x:c r="I35" s="13" t="str">
        <x:v>V160</x:v>
      </x:c>
      <x:c r="J35" s="13" t="str">
        <x:v>헬싱키</x:v>
      </x:c>
      <x:c r="K35" s="14" t="n">
        <x:v>60.1699</x:v>
      </x:c>
      <x:c r="L35" s="14" t="n">
        <x:v>24.9384</x:v>
      </x:c>
      <x:c r="M35" s="13" t="str">
        <x:v>SYNTHETIC_CALCULATED</x:v>
      </x:c>
      <x:c r="N35" s="13" t="str">
        <x:v>DRAFT</x:v>
      </x:c>
      <x:c r="O35" s="13" t="str">
        <x:v>2026-09-02</x:v>
      </x:c>
    </x:row>
    <x:row r="36">
      <x:c r="A36" s="13" t="str">
        <x:v>NET-C160</x:v>
      </x:c>
      <x:c r="B36" s="13" t="str">
        <x:v>SYNTH-20260902-V1</x:v>
      </x:c>
      <x:c r="C36" s="13" t="str">
        <x:v>DSE</x:v>
      </x:c>
      <x:c r="D36" s="13" t="str">
        <x:v>C160</x:v>
      </x:c>
      <x:c r="E36" s="13" t="str">
        <x:v>V164</x:v>
      </x:c>
      <x:c r="F36" s="13" t="str">
        <x:v>아이슬란드</x:v>
      </x:c>
      <x:c r="G36" s="13" t="str">
        <x:v>SPOKE</x:v>
      </x:c>
      <x:c r="H36" s="13" t="n">
        <x:v>2</x:v>
      </x:c>
      <x:c r="I36" s="13" t="str">
        <x:v>V160</x:v>
      </x:c>
      <x:c r="J36" s="13" t="str">
        <x:v>레이캬비크</x:v>
      </x:c>
      <x:c r="K36" s="14" t="n">
        <x:v>64.1466</x:v>
      </x:c>
      <x:c r="L36" s="14" t="n">
        <x:v>-21.9426</x:v>
      </x:c>
      <x:c r="M36" s="13" t="str">
        <x:v>SYNTHETIC_CALCULATED</x:v>
      </x:c>
      <x:c r="N36" s="13" t="str">
        <x:v>DRAFT</x:v>
      </x:c>
      <x:c r="O36" s="13" t="str">
        <x:v>2026-09-02</x:v>
      </x:c>
    </x:row>
    <x:row r="37">
      <x:c r="A37" s="13" t="str">
        <x:v>NET-C170</x:v>
      </x:c>
      <x:c r="B37" s="13" t="str">
        <x:v>SYNTH-20260902-V1</x:v>
      </x:c>
      <x:c r="C37" s="13" t="str">
        <x:v>DSE</x:v>
      </x:c>
      <x:c r="D37" s="13" t="str">
        <x:v>C170</x:v>
      </x:c>
      <x:c r="E37" s="13" t="str">
        <x:v>V170</x:v>
      </x:c>
      <x:c r="F37" s="13" t="str">
        <x:v>미국</x:v>
      </x:c>
      <x:c r="G37" s="13" t="str">
        <x:v>HUB_WITH_LOCAL_DEMAND</x:v>
      </x:c>
      <x:c r="H37" s="13" t="n">
        <x:v>1</x:v>
      </x:c>
      <x:c r="I37" s="13" t="str"/>
      <x:c r="J37" s="13" t="str">
        <x:v>뉴욕/뉴어크</x:v>
      </x:c>
      <x:c r="K37" s="14" t="n">
        <x:v>40.7357</x:v>
      </x:c>
      <x:c r="L37" s="14" t="n">
        <x:v>-74.1724</x:v>
      </x:c>
      <x:c r="M37" s="13" t="str">
        <x:v>SYNTHETIC_CALCULATED</x:v>
      </x:c>
      <x:c r="N37" s="13" t="str">
        <x:v>DRAFT</x:v>
      </x:c>
      <x:c r="O37" s="13" t="str">
        <x:v>2026-09-02</x:v>
      </x:c>
    </x:row>
    <x:row r="38">
      <x:c r="A38" s="13" t="str">
        <x:v>NET-C170</x:v>
      </x:c>
      <x:c r="B38" s="13" t="str">
        <x:v>SYNTH-20260902-V1</x:v>
      </x:c>
      <x:c r="C38" s="13" t="str">
        <x:v>DSE</x:v>
      </x:c>
      <x:c r="D38" s="13" t="str">
        <x:v>C170</x:v>
      </x:c>
      <x:c r="E38" s="13" t="str">
        <x:v>V171</x:v>
      </x:c>
      <x:c r="F38" s="13" t="str">
        <x:v>캐나다</x:v>
      </x:c>
      <x:c r="G38" s="13" t="str">
        <x:v>SPOKE</x:v>
      </x:c>
      <x:c r="H38" s="13" t="n">
        <x:v>2</x:v>
      </x:c>
      <x:c r="I38" s="13" t="str">
        <x:v>V170</x:v>
      </x:c>
      <x:c r="J38" s="13" t="str">
        <x:v>토론토</x:v>
      </x:c>
      <x:c r="K38" s="14" t="n">
        <x:v>43.6532</x:v>
      </x:c>
      <x:c r="L38" s="14" t="n">
        <x:v>-79.3832</x:v>
      </x:c>
      <x:c r="M38" s="13" t="str">
        <x:v>SYNTHETIC_CALCULATED</x:v>
      </x:c>
      <x:c r="N38" s="13" t="str">
        <x:v>DRAFT</x:v>
      </x:c>
      <x:c r="O38" s="13" t="str">
        <x:v>2026-09-02</x:v>
      </x:c>
    </x:row>
    <x:row r="39">
      <x:c r="A39" s="13" t="str">
        <x:v>NET-C170</x:v>
      </x:c>
      <x:c r="B39" s="13" t="str">
        <x:v>SYNTH-20260902-V1</x:v>
      </x:c>
      <x:c r="C39" s="13" t="str">
        <x:v>DSE</x:v>
      </x:c>
      <x:c r="D39" s="13" t="str">
        <x:v>C170</x:v>
      </x:c>
      <x:c r="E39" s="13" t="str">
        <x:v>V172</x:v>
      </x:c>
      <x:c r="F39" s="13" t="str">
        <x:v>푸에르토리코</x:v>
      </x:c>
      <x:c r="G39" s="13" t="str">
        <x:v>SPOKE</x:v>
      </x:c>
      <x:c r="H39" s="13" t="n">
        <x:v>2</x:v>
      </x:c>
      <x:c r="I39" s="13" t="str">
        <x:v>V170</x:v>
      </x:c>
      <x:c r="J39" s="13" t="str">
        <x:v>산후안</x:v>
      </x:c>
      <x:c r="K39" s="14" t="n">
        <x:v>18.4655</x:v>
      </x:c>
      <x:c r="L39" s="14" t="n">
        <x:v>-66.1057</x:v>
      </x:c>
      <x:c r="M39" s="13" t="str">
        <x:v>SYNTHETIC_CALCULATED</x:v>
      </x:c>
      <x:c r="N39" s="13" t="str">
        <x:v>DRAFT</x:v>
      </x:c>
      <x:c r="O39" s="13" t="str">
        <x:v>2026-09-02</x:v>
      </x:c>
    </x:row>
    <x:row r="40">
      <x:c r="A40" s="13" t="str">
        <x:v>NET-C170</x:v>
      </x:c>
      <x:c r="B40" s="13" t="str">
        <x:v>SYNTH-20260902-V1</x:v>
      </x:c>
      <x:c r="C40" s="13" t="str">
        <x:v>DSE</x:v>
      </x:c>
      <x:c r="D40" s="13" t="str">
        <x:v>C170</x:v>
      </x:c>
      <x:c r="E40" s="13" t="str">
        <x:v>V173</x:v>
      </x:c>
      <x:c r="F40" s="13" t="str">
        <x:v>바하마</x:v>
      </x:c>
      <x:c r="G40" s="13" t="str">
        <x:v>SPOKE</x:v>
      </x:c>
      <x:c r="H40" s="13" t="n">
        <x:v>2</x:v>
      </x:c>
      <x:c r="I40" s="13" t="str">
        <x:v>V170</x:v>
      </x:c>
      <x:c r="J40" s="13" t="str">
        <x:v>나소</x:v>
      </x:c>
      <x:c r="K40" s="14" t="n">
        <x:v>25.0443</x:v>
      </x:c>
      <x:c r="L40" s="14" t="n">
        <x:v>-77.3504</x:v>
      </x:c>
      <x:c r="M40" s="13" t="str">
        <x:v>SYNTHETIC_CALCULATED</x:v>
      </x:c>
      <x:c r="N40" s="13" t="str">
        <x:v>DRAFT</x:v>
      </x:c>
      <x:c r="O40" s="13" t="str">
        <x:v>2026-09-02</x:v>
      </x:c>
    </x:row>
    <x:row r="41">
      <x:c r="A41" s="13" t="str">
        <x:v>NET-C170</x:v>
      </x:c>
      <x:c r="B41" s="13" t="str">
        <x:v>SYNTH-20260902-V1</x:v>
      </x:c>
      <x:c r="C41" s="13" t="str">
        <x:v>DSE</x:v>
      </x:c>
      <x:c r="D41" s="13" t="str">
        <x:v>C170</x:v>
      </x:c>
      <x:c r="E41" s="13" t="str">
        <x:v>V174</x:v>
      </x:c>
      <x:c r="F41" s="13" t="str">
        <x:v>그린란드</x:v>
      </x:c>
      <x:c r="G41" s="13" t="str">
        <x:v>SPOKE</x:v>
      </x:c>
      <x:c r="H41" s="13" t="n">
        <x:v>2</x:v>
      </x:c>
      <x:c r="I41" s="13" t="str">
        <x:v>V170</x:v>
      </x:c>
      <x:c r="J41" s="13" t="str">
        <x:v>누크</x:v>
      </x:c>
      <x:c r="K41" s="14" t="n">
        <x:v>64.1814</x:v>
      </x:c>
      <x:c r="L41" s="14" t="n">
        <x:v>-51.6941</x:v>
      </x:c>
      <x:c r="M41" s="13" t="str">
        <x:v>SYNTHETIC_CALCULATED</x:v>
      </x:c>
      <x:c r="N41" s="13" t="str">
        <x:v>DRAFT</x:v>
      </x:c>
      <x:c r="O41" s="13" t="str">
        <x:v>2026-09-02</x:v>
      </x:c>
    </x:row>
    <x:row r="42">
      <x:c r="A42" s="13" t="str">
        <x:v>NET-C180</x:v>
      </x:c>
      <x:c r="B42" s="13" t="str">
        <x:v>SYNTH-20260902-V1</x:v>
      </x:c>
      <x:c r="C42" s="13" t="str">
        <x:v>DSE</x:v>
      </x:c>
      <x:c r="D42" s="13" t="str">
        <x:v>C180</x:v>
      </x:c>
      <x:c r="E42" s="13" t="str">
        <x:v>V180</x:v>
      </x:c>
      <x:c r="F42" s="13" t="str">
        <x:v>멕시코</x:v>
      </x:c>
      <x:c r="G42" s="13" t="str">
        <x:v>HUB_WITH_LOCAL_DEMAND</x:v>
      </x:c>
      <x:c r="H42" s="13" t="n">
        <x:v>1</x:v>
      </x:c>
      <x:c r="I42" s="13" t="str"/>
      <x:c r="J42" s="13" t="str">
        <x:v>멕시코시티</x:v>
      </x:c>
      <x:c r="K42" s="14" t="n">
        <x:v>19.4326</x:v>
      </x:c>
      <x:c r="L42" s="14" t="n">
        <x:v>-99.1332</x:v>
      </x:c>
      <x:c r="M42" s="13" t="str">
        <x:v>SYNTHETIC_CALCULATED</x:v>
      </x:c>
      <x:c r="N42" s="13" t="str">
        <x:v>DRAFT</x:v>
      </x:c>
      <x:c r="O42" s="13" t="str">
        <x:v>2026-09-02</x:v>
      </x:c>
    </x:row>
    <x:row r="43">
      <x:c r="A43" s="13" t="str">
        <x:v>NET-C180</x:v>
      </x:c>
      <x:c r="B43" s="13" t="str">
        <x:v>SYNTH-20260902-V1</x:v>
      </x:c>
      <x:c r="C43" s="13" t="str">
        <x:v>DSE</x:v>
      </x:c>
      <x:c r="D43" s="13" t="str">
        <x:v>C180</x:v>
      </x:c>
      <x:c r="E43" s="13" t="str">
        <x:v>V181</x:v>
      </x:c>
      <x:c r="F43" s="13" t="str">
        <x:v>파나마</x:v>
      </x:c>
      <x:c r="G43" s="13" t="str">
        <x:v>SPOKE</x:v>
      </x:c>
      <x:c r="H43" s="13" t="n">
        <x:v>2</x:v>
      </x:c>
      <x:c r="I43" s="13" t="str">
        <x:v>V180</x:v>
      </x:c>
      <x:c r="J43" s="13" t="str">
        <x:v>파나마시티</x:v>
      </x:c>
      <x:c r="K43" s="14" t="n">
        <x:v>8.9824</x:v>
      </x:c>
      <x:c r="L43" s="14" t="n">
        <x:v>-79.5199</x:v>
      </x:c>
      <x:c r="M43" s="13" t="str">
        <x:v>SYNTHETIC_CALCULATED</x:v>
      </x:c>
      <x:c r="N43" s="13" t="str">
        <x:v>DRAFT</x:v>
      </x:c>
      <x:c r="O43" s="13" t="str">
        <x:v>2026-09-02</x:v>
      </x:c>
    </x:row>
    <x:row r="44">
      <x:c r="A44" s="13" t="str">
        <x:v>NET-C180</x:v>
      </x:c>
      <x:c r="B44" s="13" t="str">
        <x:v>SYNTH-20260902-V1</x:v>
      </x:c>
      <x:c r="C44" s="13" t="str">
        <x:v>DSE</x:v>
      </x:c>
      <x:c r="D44" s="13" t="str">
        <x:v>C180</x:v>
      </x:c>
      <x:c r="E44" s="13" t="str">
        <x:v>V182</x:v>
      </x:c>
      <x:c r="F44" s="13" t="str">
        <x:v>코스타리카</x:v>
      </x:c>
      <x:c r="G44" s="13" t="str">
        <x:v>SPOKE</x:v>
      </x:c>
      <x:c r="H44" s="13" t="n">
        <x:v>2</x:v>
      </x:c>
      <x:c r="I44" s="13" t="str">
        <x:v>V180</x:v>
      </x:c>
      <x:c r="J44" s="13" t="str">
        <x:v>산호세</x:v>
      </x:c>
      <x:c r="K44" s="14" t="n">
        <x:v>9.9281</x:v>
      </x:c>
      <x:c r="L44" s="14" t="n">
        <x:v>-84.0907</x:v>
      </x:c>
      <x:c r="M44" s="13" t="str">
        <x:v>SYNTHETIC_CALCULATED</x:v>
      </x:c>
      <x:c r="N44" s="13" t="str">
        <x:v>DRAFT</x:v>
      </x:c>
      <x:c r="O44" s="13" t="str">
        <x:v>2026-09-02</x:v>
      </x:c>
    </x:row>
    <x:row r="45">
      <x:c r="A45" s="13" t="str">
        <x:v>NET-C180</x:v>
      </x:c>
      <x:c r="B45" s="13" t="str">
        <x:v>SYNTH-20260902-V1</x:v>
      </x:c>
      <x:c r="C45" s="13" t="str">
        <x:v>DSE</x:v>
      </x:c>
      <x:c r="D45" s="13" t="str">
        <x:v>C180</x:v>
      </x:c>
      <x:c r="E45" s="13" t="str">
        <x:v>V183</x:v>
      </x:c>
      <x:c r="F45" s="13" t="str">
        <x:v>과테말라</x:v>
      </x:c>
      <x:c r="G45" s="13" t="str">
        <x:v>SPOKE</x:v>
      </x:c>
      <x:c r="H45" s="13" t="n">
        <x:v>2</x:v>
      </x:c>
      <x:c r="I45" s="13" t="str">
        <x:v>V180</x:v>
      </x:c>
      <x:c r="J45" s="13" t="str">
        <x:v>과테말라시티</x:v>
      </x:c>
      <x:c r="K45" s="14" t="n">
        <x:v>14.6349</x:v>
      </x:c>
      <x:c r="L45" s="14" t="n">
        <x:v>-90.5069</x:v>
      </x:c>
      <x:c r="M45" s="13" t="str">
        <x:v>SYNTHETIC_CALCULATED</x:v>
      </x:c>
      <x:c r="N45" s="13" t="str">
        <x:v>DRAFT</x:v>
      </x:c>
      <x:c r="O45" s="13" t="str">
        <x:v>2026-09-02</x:v>
      </x:c>
    </x:row>
    <x:row r="46">
      <x:c r="A46" s="13" t="str">
        <x:v>NET-C180</x:v>
      </x:c>
      <x:c r="B46" s="13" t="str">
        <x:v>SYNTH-20260902-V1</x:v>
      </x:c>
      <x:c r="C46" s="13" t="str">
        <x:v>DSE</x:v>
      </x:c>
      <x:c r="D46" s="13" t="str">
        <x:v>C180</x:v>
      </x:c>
      <x:c r="E46" s="13" t="str">
        <x:v>V184</x:v>
      </x:c>
      <x:c r="F46" s="13" t="str">
        <x:v>도미니카(공)</x:v>
      </x:c>
      <x:c r="G46" s="13" t="str">
        <x:v>SPOKE</x:v>
      </x:c>
      <x:c r="H46" s="13" t="n">
        <x:v>2</x:v>
      </x:c>
      <x:c r="I46" s="13" t="str">
        <x:v>V180</x:v>
      </x:c>
      <x:c r="J46" s="13" t="str">
        <x:v>산토도밍고</x:v>
      </x:c>
      <x:c r="K46" s="14" t="n">
        <x:v>18.4861</x:v>
      </x:c>
      <x:c r="L46" s="14" t="n">
        <x:v>-69.9312</x:v>
      </x:c>
      <x:c r="M46" s="13" t="str">
        <x:v>SYNTHETIC_CALCULATED</x:v>
      </x:c>
      <x:c r="N46" s="13" t="str">
        <x:v>DRAFT</x:v>
      </x:c>
      <x:c r="O46" s="13" t="str">
        <x:v>2026-09-02</x:v>
      </x:c>
    </x:row>
    <x:row r="47">
      <x:c r="A47" s="13" t="str">
        <x:v>NET-C190</x:v>
      </x:c>
      <x:c r="B47" s="13" t="str">
        <x:v>SYNTH-20260902-V1</x:v>
      </x:c>
      <x:c r="C47" s="13" t="str">
        <x:v>DSE</x:v>
      </x:c>
      <x:c r="D47" s="13" t="str">
        <x:v>C190</x:v>
      </x:c>
      <x:c r="E47" s="13" t="str">
        <x:v>V190</x:v>
      </x:c>
      <x:c r="F47" s="13" t="str">
        <x:v>브라질</x:v>
      </x:c>
      <x:c r="G47" s="13" t="str">
        <x:v>HUB_WITH_LOCAL_DEMAND</x:v>
      </x:c>
      <x:c r="H47" s="13" t="n">
        <x:v>1</x:v>
      </x:c>
      <x:c r="I47" s="13" t="str"/>
      <x:c r="J47" s="13" t="str">
        <x:v>상파울루/산투스</x:v>
      </x:c>
      <x:c r="K47" s="14" t="n">
        <x:v>-23.5505</x:v>
      </x:c>
      <x:c r="L47" s="14" t="n">
        <x:v>-46.6333</x:v>
      </x:c>
      <x:c r="M47" s="13" t="str">
        <x:v>SYNTHETIC_CALCULATED</x:v>
      </x:c>
      <x:c r="N47" s="13" t="str">
        <x:v>DRAFT</x:v>
      </x:c>
      <x:c r="O47" s="13" t="str">
        <x:v>2026-09-02</x:v>
      </x:c>
    </x:row>
    <x:row r="48">
      <x:c r="A48" s="13" t="str">
        <x:v>NET-C190</x:v>
      </x:c>
      <x:c r="B48" s="13" t="str">
        <x:v>SYNTH-20260902-V1</x:v>
      </x:c>
      <x:c r="C48" s="13" t="str">
        <x:v>DSE</x:v>
      </x:c>
      <x:c r="D48" s="13" t="str">
        <x:v>C190</x:v>
      </x:c>
      <x:c r="E48" s="13" t="str">
        <x:v>V191</x:v>
      </x:c>
      <x:c r="F48" s="13" t="str">
        <x:v>아르헨티나</x:v>
      </x:c>
      <x:c r="G48" s="13" t="str">
        <x:v>SPOKE</x:v>
      </x:c>
      <x:c r="H48" s="13" t="n">
        <x:v>2</x:v>
      </x:c>
      <x:c r="I48" s="13" t="str">
        <x:v>V190</x:v>
      </x:c>
      <x:c r="J48" s="13" t="str">
        <x:v>부에노스아이레스</x:v>
      </x:c>
      <x:c r="K48" s="14" t="n">
        <x:v>-34.6037</x:v>
      </x:c>
      <x:c r="L48" s="14" t="n">
        <x:v>-58.3816</x:v>
      </x:c>
      <x:c r="M48" s="13" t="str">
        <x:v>SYNTHETIC_CALCULATED</x:v>
      </x:c>
      <x:c r="N48" s="13" t="str">
        <x:v>DRAFT</x:v>
      </x:c>
      <x:c r="O48" s="13" t="str">
        <x:v>2026-09-02</x:v>
      </x:c>
    </x:row>
    <x:row r="49">
      <x:c r="A49" s="13" t="str">
        <x:v>NET-C190</x:v>
      </x:c>
      <x:c r="B49" s="13" t="str">
        <x:v>SYNTH-20260902-V1</x:v>
      </x:c>
      <x:c r="C49" s="13" t="str">
        <x:v>DSE</x:v>
      </x:c>
      <x:c r="D49" s="13" t="str">
        <x:v>C190</x:v>
      </x:c>
      <x:c r="E49" s="13" t="str">
        <x:v>V192</x:v>
      </x:c>
      <x:c r="F49" s="13" t="str">
        <x:v>칠레</x:v>
      </x:c>
      <x:c r="G49" s="13" t="str">
        <x:v>SPOKE</x:v>
      </x:c>
      <x:c r="H49" s="13" t="n">
        <x:v>2</x:v>
      </x:c>
      <x:c r="I49" s="13" t="str">
        <x:v>V190</x:v>
      </x:c>
      <x:c r="J49" s="13" t="str">
        <x:v>산티아고</x:v>
      </x:c>
      <x:c r="K49" s="14" t="n">
        <x:v>-33.4489</x:v>
      </x:c>
      <x:c r="L49" s="14" t="n">
        <x:v>-70.6693</x:v>
      </x:c>
      <x:c r="M49" s="13" t="str">
        <x:v>SYNTHETIC_CALCULATED</x:v>
      </x:c>
      <x:c r="N49" s="13" t="str">
        <x:v>DRAFT</x:v>
      </x:c>
      <x:c r="O49" s="13" t="str">
        <x:v>2026-09-02</x:v>
      </x:c>
    </x:row>
    <x:row r="50">
      <x:c r="A50" s="13" t="str">
        <x:v>NET-C190</x:v>
      </x:c>
      <x:c r="B50" s="13" t="str">
        <x:v>SYNTH-20260902-V1</x:v>
      </x:c>
      <x:c r="C50" s="13" t="str">
        <x:v>DSE</x:v>
      </x:c>
      <x:c r="D50" s="13" t="str">
        <x:v>C190</x:v>
      </x:c>
      <x:c r="E50" s="13" t="str">
        <x:v>V193</x:v>
      </x:c>
      <x:c r="F50" s="13" t="str">
        <x:v>콜롬비아</x:v>
      </x:c>
      <x:c r="G50" s="13" t="str">
        <x:v>SPOKE</x:v>
      </x:c>
      <x:c r="H50" s="13" t="n">
        <x:v>2</x:v>
      </x:c>
      <x:c r="I50" s="13" t="str">
        <x:v>V190</x:v>
      </x:c>
      <x:c r="J50" s="13" t="str">
        <x:v>보고타</x:v>
      </x:c>
      <x:c r="K50" s="14" t="n">
        <x:v>4.711</x:v>
      </x:c>
      <x:c r="L50" s="14" t="n">
        <x:v>-74.0721</x:v>
      </x:c>
      <x:c r="M50" s="13" t="str">
        <x:v>SYNTHETIC_CALCULATED</x:v>
      </x:c>
      <x:c r="N50" s="13" t="str">
        <x:v>DRAFT</x:v>
      </x:c>
      <x:c r="O50" s="13" t="str">
        <x:v>2026-09-02</x:v>
      </x:c>
    </x:row>
    <x:row r="51">
      <x:c r="A51" s="13" t="str">
        <x:v>NET-C190</x:v>
      </x:c>
      <x:c r="B51" s="13" t="str">
        <x:v>SYNTH-20260902-V1</x:v>
      </x:c>
      <x:c r="C51" s="13" t="str">
        <x:v>DSE</x:v>
      </x:c>
      <x:c r="D51" s="13" t="str">
        <x:v>C190</x:v>
      </x:c>
      <x:c r="E51" s="13" t="str">
        <x:v>V194</x:v>
      </x:c>
      <x:c r="F51" s="13" t="str">
        <x:v>페루</x:v>
      </x:c>
      <x:c r="G51" s="13" t="str">
        <x:v>SPOKE</x:v>
      </x:c>
      <x:c r="H51" s="13" t="n">
        <x:v>2</x:v>
      </x:c>
      <x:c r="I51" s="13" t="str">
        <x:v>V190</x:v>
      </x:c>
      <x:c r="J51" s="13" t="str">
        <x:v>리마</x:v>
      </x:c>
      <x:c r="K51" s="14" t="n">
        <x:v>-12.0464</x:v>
      </x:c>
      <x:c r="L51" s="14" t="n">
        <x:v>-77.0428</x:v>
      </x:c>
      <x:c r="M51" s="13" t="str">
        <x:v>SYNTHETIC_CALCULATED</x:v>
      </x:c>
      <x:c r="N51" s="13" t="str">
        <x:v>DRAFT</x:v>
      </x:c>
      <x:c r="O51" s="13" t="str">
        <x:v>2026-09-02</x:v>
      </x:c>
    </x:row>
  </x:sheetData>
  <x:pageMargins left="0.7" right="0.7" top="0.75" bottom="0.75" header="0.3" footer="0.3"/>
  <x:tableParts count="1">
    <x:tablePart xmlns:r="http://schemas.openxmlformats.org/officeDocument/2006/relationships" r:id="R3528c6f71f6043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.109999656677246" hidden="0" customWidth="1"/>
    <x:col min="3" max="3" width="16.329999923706055" hidden="0" customWidth="1"/>
    <x:col min="4" max="4" width="10.4399995803833" hidden="0" customWidth="1"/>
    <x:col min="5" max="5" width="7" hidden="0" customWidth="1"/>
    <x:col min="6" max="6" width="10.4399995803833" hidden="0" customWidth="1"/>
    <x:col min="7" max="7" width="8.4399995803833" hidden="0" customWidth="1"/>
    <x:col min="8" max="8" width="16" hidden="0" customWidth="1"/>
    <x:col min="9" max="9" width="16" hidden="0" customWidth="1"/>
    <x:col min="10" max="10" width="12.890000343322754" hidden="0" customWidth="1"/>
    <x:col min="11" max="11" width="10.890000343322754" hidden="0" customWidth="1"/>
    <x:col min="12" max="12" width="10.779999732971191" hidden="0" customWidth="1"/>
    <x:col min="13" max="13" width="12.220000267028809" hidden="0" customWidth="1"/>
    <x:col min="14" max="14" width="8.670000076293945" hidden="0" customWidth="1"/>
    <x:col min="15" max="15" width="10.109999656677246" hidden="0" customWidth="1"/>
    <x:col min="16" max="16" width="12.890000343322754" hidden="0" customWidth="1"/>
    <x:col min="17" max="17" width="10" hidden="0" customWidth="1"/>
    <x:col min="18" max="18" width="15.220000267028809" hidden="0" customWidth="1"/>
    <x:col min="19" max="19" width="15.4399995803833" hidden="0" customWidth="1"/>
    <x:col min="20" max="20" width="16.889999389648438" hidden="0" customWidth="1"/>
    <x:col min="21" max="21" width="16.670000076293945" hidden="0" customWidth="1"/>
    <x:col min="22" max="22" width="11.670000076293945" hidden="0" customWidth="1"/>
    <x:col min="23" max="23" width="21.110000610351562" hidden="0" customWidth="1"/>
    <x:col min="24" max="24" width="11" hidden="0" customWidth="1"/>
    <x:col min="25" max="25" width="16.110000610351562" hidden="0" customWidth="1"/>
    <x:col min="26" max="26" width="13.329999923706055" hidden="0" customWidth="1"/>
    <x:col min="27" max="27" width="16.110000610351562" hidden="0" customWidth="1"/>
    <x:col min="28" max="28" width="20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</x:cols>
  <x:sheetData>
    <x:row r="1" ht="32" customHeight="1">
      <x:c r="A1" s="6" t="str">
        <x:v>lane_id</x:v>
      </x:c>
      <x:c r="B1" s="6" t="str">
        <x:v>network_id</x:v>
      </x:c>
      <x:c r="C1" s="6" t="str">
        <x:v>network_revision</x:v>
      </x:c>
      <x:c r="D1" s="6" t="str">
        <x:v>company_cd</x:v>
      </x:c>
      <x:c r="E1" s="6" t="str">
        <x:v>subs_cd</x:v>
      </x:c>
      <x:c r="F1" s="6" t="str">
        <x:v>from_site_cd</x:v>
      </x:c>
      <x:c r="G1" s="6" t="str">
        <x:v>to_site_cd</x:v>
      </x:c>
      <x:c r="H1" s="6" t="str">
        <x:v>from_country</x:v>
      </x:c>
      <x:c r="I1" s="6" t="str">
        <x:v>to_country</x:v>
      </x:c>
      <x:c r="J1" s="6" t="str">
        <x:v>transport_mode</x:v>
      </x:c>
      <x:c r="K1" s="6" t="str">
        <x:v>route_priority</x:v>
      </x:c>
      <x:c r="L1" s="6" t="str">
        <x:v>from_latitude</x:v>
      </x:c>
      <x:c r="M1" s="6" t="str">
        <x:v>from_longitude</x:v>
      </x:c>
      <x:c r="N1" s="6" t="str">
        <x:v>to_latitude</x:v>
      </x:c>
      <x:c r="O1" s="6" t="str">
        <x:v>to_longitude</x:v>
      </x:c>
      <x:c r="P1" s="6" t="str">
        <x:v>great_circle_km</x:v>
      </x:c>
      <x:c r="Q1" s="6" t="str">
        <x:v>route_factor</x:v>
      </x:c>
      <x:c r="R1" s="6" t="str">
        <x:v>route_distance_km</x:v>
      </x:c>
      <x:c r="S1" s="6" t="str">
        <x:v>speed_km_per_day</x:v>
      </x:c>
      <x:c r="T1" s="6" t="str">
        <x:v>origin_handling_days</x:v>
      </x:c>
      <x:c r="U1" s="6" t="str">
        <x:v>departure_wait_days</x:v>
      </x:c>
      <x:c r="V1" s="6" t="str">
        <x:v>customs_days</x:v>
      </x:c>
      <x:c r="W1" s="6" t="str">
        <x:v>destination_handling_days</x:v>
      </x:c>
      <x:c r="X1" s="6" t="str">
        <x:v>linehaul_days</x:v>
      </x:c>
      <x:c r="Y1" s="6" t="str">
        <x:v>p50_lead_time_days</x:v>
      </x:c>
      <x:c r="Z1" s="6" t="str">
        <x:v>variability_factor</x:v>
      </x:c>
      <x:c r="AA1" s="6" t="str">
        <x:v>p90_lead_time_days</x:v>
      </x:c>
      <x:c r="AB1" s="6" t="str">
        <x:v>planning_lead_time_days</x:v>
      </x:c>
      <x:c r="AC1" s="6" t="str">
        <x:v>source_type</x:v>
      </x:c>
      <x:c r="AD1" s="6" t="str">
        <x:v>calculation_method</x:v>
      </x:c>
      <x:c r="AE1" s="6" t="str">
        <x:v>confidence</x:v>
      </x:c>
      <x:c r="AF1" s="6" t="str">
        <x:v>status</x:v>
      </x:c>
      <x:c r="AG1" s="6" t="str">
        <x:v>calculation_reference_url</x:v>
      </x:c>
      <x:c r="AH1" s="6" t="str">
        <x:v>effective_from</x:v>
      </x:c>
    </x:row>
    <x:row r="2">
      <x:c r="A2" s="13" t="str">
        <x:v>V100-V101-SEA</x:v>
      </x:c>
      <x:c r="B2" s="13" t="str">
        <x:v>NET-C100</x:v>
      </x:c>
      <x:c r="C2" s="13" t="str">
        <x:v>SYNTH-20260902-V1</x:v>
      </x:c>
      <x:c r="D2" s="13" t="str">
        <x:v>DSE</x:v>
      </x:c>
      <x:c r="E2" s="13" t="str">
        <x:v>C100</x:v>
      </x:c>
      <x:c r="F2" s="13" t="str">
        <x:v>V100</x:v>
      </x:c>
      <x:c r="G2" s="13" t="str">
        <x:v>V101</x:v>
      </x:c>
      <x:c r="H2" s="13" t="str">
        <x:v>대한민국</x:v>
      </x:c>
      <x:c r="I2" s="13" t="str">
        <x:v>일본</x:v>
      </x:c>
      <x:c r="J2" s="13" t="str">
        <x:v>SEA</x:v>
      </x:c>
      <x:c r="K2" s="13" t="n">
        <x:v>1</x:v>
      </x:c>
      <x:c r="L2" s="13" t="n">
        <x:v>37.5665</x:v>
      </x:c>
      <x:c r="M2" s="13" t="n">
        <x:v>126.978</x:v>
      </x:c>
      <x:c r="N2" s="13" t="n">
        <x:v>35.6762</x:v>
      </x:c>
      <x:c r="O2" s="13" t="n">
        <x:v>139.6503</x:v>
      </x:c>
      <x:c r="P2" s="16" t="n">
        <x:v>1149.4</x:v>
      </x:c>
      <x:c r="Q2" s="16" t="n">
        <x:f>VLOOKUP(J2,Assumptions!$A$2:$H$5,2,FALSE)</x:f>
        <x:v>1.35</x:v>
      </x:c>
      <x:c r="R2" s="16" t="n">
        <x:f>ROUND(P2*Q2,0)</x:f>
        <x:v>1552</x:v>
      </x:c>
      <x:c r="S2" s="17" t="n">
        <x:f>VLOOKUP(J2,Assumptions!$A$2:$H$5,3,FALSE)</x:f>
        <x:v>600</x:v>
      </x:c>
      <x:c r="T2" s="17" t="n">
        <x:f>VLOOKUP(J2,Assumptions!$A$2:$H$5,4,FALSE)</x:f>
        <x:v>2</x:v>
      </x:c>
      <x:c r="U2" s="17" t="n">
        <x:f>VLOOKUP(J2,Assumptions!$A$2:$H$5,5,FALSE)</x:f>
        <x:v>4</x:v>
      </x:c>
      <x:c r="V2" s="17" t="n">
        <x:f>VLOOKUP(J2,Assumptions!$A$2:$H$5,6,FALSE)</x:f>
        <x:v>3</x:v>
      </x:c>
      <x:c r="W2" s="17" t="n">
        <x:f>VLOOKUP(J2,Assumptions!$A$2:$H$5,7,FALSE)</x:f>
        <x:v>2</x:v>
      </x:c>
      <x:c r="X2" s="17" t="n">
        <x:f>R2/S2</x:f>
        <x:v>2.5866666666666664</x:v>
      </x:c>
      <x:c r="Y2" s="17" t="n">
        <x:f>ROUNDUP(SUM(T2:X2),0)</x:f>
        <x:v>14</x:v>
      </x:c>
      <x:c r="Z2" s="17" t="n">
        <x:f>VLOOKUP(J2,Assumptions!$A$2:$H$5,8,FALSE)</x:f>
        <x:v>1.5</x:v>
      </x:c>
      <x:c r="AA2" s="17" t="n">
        <x:f>ROUNDUP(Y2*Z2,0)</x:f>
        <x:v>21</x:v>
      </x:c>
      <x:c r="AB2" s="17" t="n">
        <x:f>AA2</x:f>
        <x:v>21</x:v>
      </x:c>
      <x:c r="AC2" s="13" t="str">
        <x:v>SYNTHETIC_CALCULATED</x:v>
      </x:c>
      <x:c r="AD2" s="13" t="str">
        <x:v>GEODESIC_MODE_FACTOR_V1</x:v>
      </x:c>
      <x:c r="AE2" s="13" t="str">
        <x:v>LOW</x:v>
      </x:c>
      <x:c r="AF2" s="13" t="str">
        <x:v>DRAFT</x:v>
      </x:c>
      <x:c r="AG2" s="13" t="str">
        <x:v>https://developer.searoutes.com/reference/getsearoute</x:v>
      </x:c>
      <x:c r="AH2" s="13" t="str">
        <x:v>2026-09-02</x:v>
      </x:c>
    </x:row>
    <x:row r="3">
      <x:c r="A3" s="13" t="str">
        <x:v>V100-V101-AIR</x:v>
      </x:c>
      <x:c r="B3" s="13" t="str">
        <x:v>NET-C100</x:v>
      </x:c>
      <x:c r="C3" s="13" t="str">
        <x:v>SYNTH-20260902-V1</x:v>
      </x:c>
      <x:c r="D3" s="13" t="str">
        <x:v>DSE</x:v>
      </x:c>
      <x:c r="E3" s="13" t="str">
        <x:v>C100</x:v>
      </x:c>
      <x:c r="F3" s="13" t="str">
        <x:v>V100</x:v>
      </x:c>
      <x:c r="G3" s="13" t="str">
        <x:v>V101</x:v>
      </x:c>
      <x:c r="H3" s="13" t="str">
        <x:v>대한민국</x:v>
      </x:c>
      <x:c r="I3" s="13" t="str">
        <x:v>일본</x:v>
      </x:c>
      <x:c r="J3" s="13" t="str">
        <x:v>AIR</x:v>
      </x:c>
      <x:c r="K3" s="13" t="n">
        <x:v>2</x:v>
      </x:c>
      <x:c r="L3" s="13" t="n">
        <x:v>37.5665</x:v>
      </x:c>
      <x:c r="M3" s="13" t="n">
        <x:v>126.978</x:v>
      </x:c>
      <x:c r="N3" s="13" t="n">
        <x:v>35.6762</x:v>
      </x:c>
      <x:c r="O3" s="13" t="n">
        <x:v>139.6503</x:v>
      </x:c>
      <x:c r="P3" s="16" t="n">
        <x:v>1149.4</x:v>
      </x:c>
      <x:c r="Q3" s="16" t="n">
        <x:f>VLOOKUP(J3,Assumptions!$A$2:$H$5,2,FALSE)</x:f>
        <x:v>1.05</x:v>
      </x:c>
      <x:c r="R3" s="16" t="n">
        <x:f>ROUND(P3*Q3,0)</x:f>
        <x:v>1207</x:v>
      </x:c>
      <x:c r="S3" s="17" t="n">
        <x:f>VLOOKUP(J3,Assumptions!$A$2:$H$5,3,FALSE)</x:f>
        <x:v>18000</x:v>
      </x:c>
      <x:c r="T3" s="17" t="n">
        <x:f>VLOOKUP(J3,Assumptions!$A$2:$H$5,4,FALSE)</x:f>
        <x:v>1</x:v>
      </x:c>
      <x:c r="U3" s="17" t="n">
        <x:f>VLOOKUP(J3,Assumptions!$A$2:$H$5,5,FALSE)</x:f>
        <x:v>1</x:v>
      </x:c>
      <x:c r="V3" s="17" t="n">
        <x:f>VLOOKUP(J3,Assumptions!$A$2:$H$5,6,FALSE)</x:f>
        <x:v>2</x:v>
      </x:c>
      <x:c r="W3" s="17" t="n">
        <x:f>VLOOKUP(J3,Assumptions!$A$2:$H$5,7,FALSE)</x:f>
        <x:v>1</x:v>
      </x:c>
      <x:c r="X3" s="17" t="n">
        <x:f>R3/S3</x:f>
        <x:v>0.06705555555555555</x:v>
      </x:c>
      <x:c r="Y3" s="17" t="n">
        <x:f>ROUNDUP(SUM(T3:X3),0)</x:f>
        <x:v>6</x:v>
      </x:c>
      <x:c r="Z3" s="17" t="n">
        <x:f>VLOOKUP(J3,Assumptions!$A$2:$H$5,8,FALSE)</x:f>
        <x:v>1.3</x:v>
      </x:c>
      <x:c r="AA3" s="17" t="n">
        <x:f>ROUNDUP(Y3*Z3,0)</x:f>
        <x:v>8</x:v>
      </x:c>
      <x:c r="AB3" s="17" t="n">
        <x:f>AA3</x:f>
        <x:v>8</x:v>
      </x:c>
      <x:c r="AC3" s="13" t="str">
        <x:v>SYNTHETIC_CALCULATED</x:v>
      </x:c>
      <x:c r="AD3" s="13" t="str">
        <x:v>GEODESIC_MODE_FACTOR_V1</x:v>
      </x:c>
      <x:c r="AE3" s="13" t="str">
        <x:v>LOW</x:v>
      </x:c>
      <x:c r="AF3" s="13" t="str">
        <x:v>DRAFT</x:v>
      </x:c>
      <x:c r="AG3" s="13" t="str">
        <x:v>https://www.oag.com/airline-schedules-data</x:v>
      </x:c>
      <x:c r="AH3" s="13" t="str">
        <x:v>2026-09-02</x:v>
      </x:c>
    </x:row>
    <x:row r="4">
      <x:c r="A4" s="13" t="str">
        <x:v>V100-V102-SEA</x:v>
      </x:c>
      <x:c r="B4" s="13" t="str">
        <x:v>NET-C100</x:v>
      </x:c>
      <x:c r="C4" s="13" t="str">
        <x:v>SYNTH-20260902-V1</x:v>
      </x:c>
      <x:c r="D4" s="13" t="str">
        <x:v>DSE</x:v>
      </x:c>
      <x:c r="E4" s="13" t="str">
        <x:v>C100</x:v>
      </x:c>
      <x:c r="F4" s="13" t="str">
        <x:v>V100</x:v>
      </x:c>
      <x:c r="G4" s="13" t="str">
        <x:v>V102</x:v>
      </x:c>
      <x:c r="H4" s="13" t="str">
        <x:v>대한민국</x:v>
      </x:c>
      <x:c r="I4" s="13" t="str">
        <x:v>중국</x:v>
      </x:c>
      <x:c r="J4" s="13" t="str">
        <x:v>SEA</x:v>
      </x:c>
      <x:c r="K4" s="13" t="n">
        <x:v>1</x:v>
      </x:c>
      <x:c r="L4" s="13" t="n">
        <x:v>37.5665</x:v>
      </x:c>
      <x:c r="M4" s="13" t="n">
        <x:v>126.978</x:v>
      </x:c>
      <x:c r="N4" s="13" t="n">
        <x:v>31.2304</x:v>
      </x:c>
      <x:c r="O4" s="13" t="n">
        <x:v>121.4737</x:v>
      </x:c>
      <x:c r="P4" s="16" t="n">
        <x:v>866.5</x:v>
      </x:c>
      <x:c r="Q4" s="16" t="n">
        <x:f>VLOOKUP(J4,Assumptions!$A$2:$H$5,2,FALSE)</x:f>
        <x:v>1.35</x:v>
      </x:c>
      <x:c r="R4" s="16" t="n">
        <x:f>ROUND(P4*Q4,0)</x:f>
        <x:v>1170</x:v>
      </x:c>
      <x:c r="S4" s="17" t="n">
        <x:f>VLOOKUP(J4,Assumptions!$A$2:$H$5,3,FALSE)</x:f>
        <x:v>600</x:v>
      </x:c>
      <x:c r="T4" s="17" t="n">
        <x:f>VLOOKUP(J4,Assumptions!$A$2:$H$5,4,FALSE)</x:f>
        <x:v>2</x:v>
      </x:c>
      <x:c r="U4" s="17" t="n">
        <x:f>VLOOKUP(J4,Assumptions!$A$2:$H$5,5,FALSE)</x:f>
        <x:v>4</x:v>
      </x:c>
      <x:c r="V4" s="17" t="n">
        <x:f>VLOOKUP(J4,Assumptions!$A$2:$H$5,6,FALSE)</x:f>
        <x:v>3</x:v>
      </x:c>
      <x:c r="W4" s="17" t="n">
        <x:f>VLOOKUP(J4,Assumptions!$A$2:$H$5,7,FALSE)</x:f>
        <x:v>2</x:v>
      </x:c>
      <x:c r="X4" s="17" t="n">
        <x:f>R4/S4</x:f>
        <x:v>1.95</x:v>
      </x:c>
      <x:c r="Y4" s="17" t="n">
        <x:f>ROUNDUP(SUM(T4:X4),0)</x:f>
        <x:v>13</x:v>
      </x:c>
      <x:c r="Z4" s="17" t="n">
        <x:f>VLOOKUP(J4,Assumptions!$A$2:$H$5,8,FALSE)</x:f>
        <x:v>1.5</x:v>
      </x:c>
      <x:c r="AA4" s="17" t="n">
        <x:f>ROUNDUP(Y4*Z4,0)</x:f>
        <x:v>20</x:v>
      </x:c>
      <x:c r="AB4" s="17" t="n">
        <x:f>AA4</x:f>
        <x:v>20</x:v>
      </x:c>
      <x:c r="AC4" s="13" t="str">
        <x:v>SYNTHETIC_CALCULATED</x:v>
      </x:c>
      <x:c r="AD4" s="13" t="str">
        <x:v>GEODESIC_MODE_FACTOR_V1</x:v>
      </x:c>
      <x:c r="AE4" s="13" t="str">
        <x:v>LOW</x:v>
      </x:c>
      <x:c r="AF4" s="13" t="str">
        <x:v>DRAFT</x:v>
      </x:c>
      <x:c r="AG4" s="13" t="str">
        <x:v>https://developer.searoutes.com/reference/getsearoute</x:v>
      </x:c>
      <x:c r="AH4" s="13" t="str">
        <x:v>2026-09-02</x:v>
      </x:c>
    </x:row>
    <x:row r="5">
      <x:c r="A5" s="13" t="str">
        <x:v>V100-V102-AIR</x:v>
      </x:c>
      <x:c r="B5" s="13" t="str">
        <x:v>NET-C100</x:v>
      </x:c>
      <x:c r="C5" s="13" t="str">
        <x:v>SYNTH-20260902-V1</x:v>
      </x:c>
      <x:c r="D5" s="13" t="str">
        <x:v>DSE</x:v>
      </x:c>
      <x:c r="E5" s="13" t="str">
        <x:v>C100</x:v>
      </x:c>
      <x:c r="F5" s="13" t="str">
        <x:v>V100</x:v>
      </x:c>
      <x:c r="G5" s="13" t="str">
        <x:v>V102</x:v>
      </x:c>
      <x:c r="H5" s="13" t="str">
        <x:v>대한민국</x:v>
      </x:c>
      <x:c r="I5" s="13" t="str">
        <x:v>중국</x:v>
      </x:c>
      <x:c r="J5" s="13" t="str">
        <x:v>AIR</x:v>
      </x:c>
      <x:c r="K5" s="13" t="n">
        <x:v>2</x:v>
      </x:c>
      <x:c r="L5" s="13" t="n">
        <x:v>37.5665</x:v>
      </x:c>
      <x:c r="M5" s="13" t="n">
        <x:v>126.978</x:v>
      </x:c>
      <x:c r="N5" s="13" t="n">
        <x:v>31.2304</x:v>
      </x:c>
      <x:c r="O5" s="13" t="n">
        <x:v>121.4737</x:v>
      </x:c>
      <x:c r="P5" s="16" t="n">
        <x:v>866.5</x:v>
      </x:c>
      <x:c r="Q5" s="16" t="n">
        <x:f>VLOOKUP(J5,Assumptions!$A$2:$H$5,2,FALSE)</x:f>
        <x:v>1.05</x:v>
      </x:c>
      <x:c r="R5" s="16" t="n">
        <x:f>ROUND(P5*Q5,0)</x:f>
        <x:v>910</x:v>
      </x:c>
      <x:c r="S5" s="17" t="n">
        <x:f>VLOOKUP(J5,Assumptions!$A$2:$H$5,3,FALSE)</x:f>
        <x:v>18000</x:v>
      </x:c>
      <x:c r="T5" s="17" t="n">
        <x:f>VLOOKUP(J5,Assumptions!$A$2:$H$5,4,FALSE)</x:f>
        <x:v>1</x:v>
      </x:c>
      <x:c r="U5" s="17" t="n">
        <x:f>VLOOKUP(J5,Assumptions!$A$2:$H$5,5,FALSE)</x:f>
        <x:v>1</x:v>
      </x:c>
      <x:c r="V5" s="17" t="n">
        <x:f>VLOOKUP(J5,Assumptions!$A$2:$H$5,6,FALSE)</x:f>
        <x:v>2</x:v>
      </x:c>
      <x:c r="W5" s="17" t="n">
        <x:f>VLOOKUP(J5,Assumptions!$A$2:$H$5,7,FALSE)</x:f>
        <x:v>1</x:v>
      </x:c>
      <x:c r="X5" s="17" t="n">
        <x:f>R5/S5</x:f>
        <x:v>0.050555555555555555</x:v>
      </x:c>
      <x:c r="Y5" s="17" t="n">
        <x:f>ROUNDUP(SUM(T5:X5),0)</x:f>
        <x:v>6</x:v>
      </x:c>
      <x:c r="Z5" s="17" t="n">
        <x:f>VLOOKUP(J5,Assumptions!$A$2:$H$5,8,FALSE)</x:f>
        <x:v>1.3</x:v>
      </x:c>
      <x:c r="AA5" s="17" t="n">
        <x:f>ROUNDUP(Y5*Z5,0)</x:f>
        <x:v>8</x:v>
      </x:c>
      <x:c r="AB5" s="17" t="n">
        <x:f>AA5</x:f>
        <x:v>8</x:v>
      </x:c>
      <x:c r="AC5" s="13" t="str">
        <x:v>SYNTHETIC_CALCULATED</x:v>
      </x:c>
      <x:c r="AD5" s="13" t="str">
        <x:v>GEODESIC_MODE_FACTOR_V1</x:v>
      </x:c>
      <x:c r="AE5" s="13" t="str">
        <x:v>LOW</x:v>
      </x:c>
      <x:c r="AF5" s="13" t="str">
        <x:v>DRAFT</x:v>
      </x:c>
      <x:c r="AG5" s="13" t="str">
        <x:v>https://www.oag.com/airline-schedules-data</x:v>
      </x:c>
      <x:c r="AH5" s="13" t="str">
        <x:v>2026-09-02</x:v>
      </x:c>
    </x:row>
    <x:row r="6">
      <x:c r="A6" s="13" t="str">
        <x:v>V100-V103-SEA</x:v>
      </x:c>
      <x:c r="B6" s="13" t="str">
        <x:v>NET-C100</x:v>
      </x:c>
      <x:c r="C6" s="13" t="str">
        <x:v>SYNTH-20260902-V1</x:v>
      </x:c>
      <x:c r="D6" s="13" t="str">
        <x:v>DSE</x:v>
      </x:c>
      <x:c r="E6" s="13" t="str">
        <x:v>C100</x:v>
      </x:c>
      <x:c r="F6" s="13" t="str">
        <x:v>V100</x:v>
      </x:c>
      <x:c r="G6" s="13" t="str">
        <x:v>V103</x:v>
      </x:c>
      <x:c r="H6" s="13" t="str">
        <x:v>대한민국</x:v>
      </x:c>
      <x:c r="I6" s="13" t="str">
        <x:v>사우디</x:v>
      </x:c>
      <x:c r="J6" s="13" t="str">
        <x:v>SEA</x:v>
      </x:c>
      <x:c r="K6" s="13" t="n">
        <x:v>1</x:v>
      </x:c>
      <x:c r="L6" s="13" t="n">
        <x:v>37.5665</x:v>
      </x:c>
      <x:c r="M6" s="13" t="n">
        <x:v>126.978</x:v>
      </x:c>
      <x:c r="N6" s="13" t="n">
        <x:v>24.7136</x:v>
      </x:c>
      <x:c r="O6" s="13" t="n">
        <x:v>46.6753</x:v>
      </x:c>
      <x:c r="P6" s="16" t="n">
        <x:v>7550.4</x:v>
      </x:c>
      <x:c r="Q6" s="16" t="n">
        <x:f>VLOOKUP(J6,Assumptions!$A$2:$H$5,2,FALSE)</x:f>
        <x:v>1.35</x:v>
      </x:c>
      <x:c r="R6" s="16" t="n">
        <x:f>ROUND(P6*Q6,0)</x:f>
        <x:v>10193</x:v>
      </x:c>
      <x:c r="S6" s="17" t="n">
        <x:f>VLOOKUP(J6,Assumptions!$A$2:$H$5,3,FALSE)</x:f>
        <x:v>600</x:v>
      </x:c>
      <x:c r="T6" s="17" t="n">
        <x:f>VLOOKUP(J6,Assumptions!$A$2:$H$5,4,FALSE)</x:f>
        <x:v>2</x:v>
      </x:c>
      <x:c r="U6" s="17" t="n">
        <x:f>VLOOKUP(J6,Assumptions!$A$2:$H$5,5,FALSE)</x:f>
        <x:v>4</x:v>
      </x:c>
      <x:c r="V6" s="17" t="n">
        <x:f>VLOOKUP(J6,Assumptions!$A$2:$H$5,6,FALSE)</x:f>
        <x:v>3</x:v>
      </x:c>
      <x:c r="W6" s="17" t="n">
        <x:f>VLOOKUP(J6,Assumptions!$A$2:$H$5,7,FALSE)</x:f>
        <x:v>2</x:v>
      </x:c>
      <x:c r="X6" s="17" t="n">
        <x:f>R6/S6</x:f>
        <x:v>16.988333333333333</x:v>
      </x:c>
      <x:c r="Y6" s="17" t="n">
        <x:f>ROUNDUP(SUM(T6:X6),0)</x:f>
        <x:v>28</x:v>
      </x:c>
      <x:c r="Z6" s="17" t="n">
        <x:f>VLOOKUP(J6,Assumptions!$A$2:$H$5,8,FALSE)</x:f>
        <x:v>1.5</x:v>
      </x:c>
      <x:c r="AA6" s="17" t="n">
        <x:f>ROUNDUP(Y6*Z6,0)</x:f>
        <x:v>42</x:v>
      </x:c>
      <x:c r="AB6" s="17" t="n">
        <x:f>AA6</x:f>
        <x:v>42</x:v>
      </x:c>
      <x:c r="AC6" s="13" t="str">
        <x:v>SYNTHETIC_CALCULATED</x:v>
      </x:c>
      <x:c r="AD6" s="13" t="str">
        <x:v>GEODESIC_MODE_FACTOR_V1</x:v>
      </x:c>
      <x:c r="AE6" s="13" t="str">
        <x:v>LOW</x:v>
      </x:c>
      <x:c r="AF6" s="13" t="str">
        <x:v>DRAFT</x:v>
      </x:c>
      <x:c r="AG6" s="13" t="str">
        <x:v>https://developer.searoutes.com/reference/getsearoute</x:v>
      </x:c>
      <x:c r="AH6" s="13" t="str">
        <x:v>2026-09-02</x:v>
      </x:c>
    </x:row>
    <x:row r="7">
      <x:c r="A7" s="13" t="str">
        <x:v>V100-V103-AIR</x:v>
      </x:c>
      <x:c r="B7" s="13" t="str">
        <x:v>NET-C100</x:v>
      </x:c>
      <x:c r="C7" s="13" t="str">
        <x:v>SYNTH-20260902-V1</x:v>
      </x:c>
      <x:c r="D7" s="13" t="str">
        <x:v>DSE</x:v>
      </x:c>
      <x:c r="E7" s="13" t="str">
        <x:v>C100</x:v>
      </x:c>
      <x:c r="F7" s="13" t="str">
        <x:v>V100</x:v>
      </x:c>
      <x:c r="G7" s="13" t="str">
        <x:v>V103</x:v>
      </x:c>
      <x:c r="H7" s="13" t="str">
        <x:v>대한민국</x:v>
      </x:c>
      <x:c r="I7" s="13" t="str">
        <x:v>사우디</x:v>
      </x:c>
      <x:c r="J7" s="13" t="str">
        <x:v>AIR</x:v>
      </x:c>
      <x:c r="K7" s="13" t="n">
        <x:v>2</x:v>
      </x:c>
      <x:c r="L7" s="13" t="n">
        <x:v>37.5665</x:v>
      </x:c>
      <x:c r="M7" s="13" t="n">
        <x:v>126.978</x:v>
      </x:c>
      <x:c r="N7" s="13" t="n">
        <x:v>24.7136</x:v>
      </x:c>
      <x:c r="O7" s="13" t="n">
        <x:v>46.6753</x:v>
      </x:c>
      <x:c r="P7" s="16" t="n">
        <x:v>7550.4</x:v>
      </x:c>
      <x:c r="Q7" s="16" t="n">
        <x:f>VLOOKUP(J7,Assumptions!$A$2:$H$5,2,FALSE)</x:f>
        <x:v>1.05</x:v>
      </x:c>
      <x:c r="R7" s="16" t="n">
        <x:f>ROUND(P7*Q7,0)</x:f>
        <x:v>7928</x:v>
      </x:c>
      <x:c r="S7" s="17" t="n">
        <x:f>VLOOKUP(J7,Assumptions!$A$2:$H$5,3,FALSE)</x:f>
        <x:v>18000</x:v>
      </x:c>
      <x:c r="T7" s="17" t="n">
        <x:f>VLOOKUP(J7,Assumptions!$A$2:$H$5,4,FALSE)</x:f>
        <x:v>1</x:v>
      </x:c>
      <x:c r="U7" s="17" t="n">
        <x:f>VLOOKUP(J7,Assumptions!$A$2:$H$5,5,FALSE)</x:f>
        <x:v>1</x:v>
      </x:c>
      <x:c r="V7" s="17" t="n">
        <x:f>VLOOKUP(J7,Assumptions!$A$2:$H$5,6,FALSE)</x:f>
        <x:v>2</x:v>
      </x:c>
      <x:c r="W7" s="17" t="n">
        <x:f>VLOOKUP(J7,Assumptions!$A$2:$H$5,7,FALSE)</x:f>
        <x:v>1</x:v>
      </x:c>
      <x:c r="X7" s="17" t="n">
        <x:f>R7/S7</x:f>
        <x:v>0.44044444444444447</x:v>
      </x:c>
      <x:c r="Y7" s="17" t="n">
        <x:f>ROUNDUP(SUM(T7:X7),0)</x:f>
        <x:v>6</x:v>
      </x:c>
      <x:c r="Z7" s="17" t="n">
        <x:f>VLOOKUP(J7,Assumptions!$A$2:$H$5,8,FALSE)</x:f>
        <x:v>1.3</x:v>
      </x:c>
      <x:c r="AA7" s="17" t="n">
        <x:f>ROUNDUP(Y7*Z7,0)</x:f>
        <x:v>8</x:v>
      </x:c>
      <x:c r="AB7" s="17" t="n">
        <x:f>AA7</x:f>
        <x:v>8</x:v>
      </x:c>
      <x:c r="AC7" s="13" t="str">
        <x:v>SYNTHETIC_CALCULATED</x:v>
      </x:c>
      <x:c r="AD7" s="13" t="str">
        <x:v>GEODESIC_MODE_FACTOR_V1</x:v>
      </x:c>
      <x:c r="AE7" s="13" t="str">
        <x:v>LOW</x:v>
      </x:c>
      <x:c r="AF7" s="13" t="str">
        <x:v>DRAFT</x:v>
      </x:c>
      <x:c r="AG7" s="13" t="str">
        <x:v>https://www.oag.com/airline-schedules-data</x:v>
      </x:c>
      <x:c r="AH7" s="13" t="str">
        <x:v>2026-09-02</x:v>
      </x:c>
    </x:row>
    <x:row r="8">
      <x:c r="A8" s="13" t="str">
        <x:v>V100-V104-SEA</x:v>
      </x:c>
      <x:c r="B8" s="13" t="str">
        <x:v>NET-C100</x:v>
      </x:c>
      <x:c r="C8" s="13" t="str">
        <x:v>SYNTH-20260902-V1</x:v>
      </x:c>
      <x:c r="D8" s="13" t="str">
        <x:v>DSE</x:v>
      </x:c>
      <x:c r="E8" s="13" t="str">
        <x:v>C100</x:v>
      </x:c>
      <x:c r="F8" s="13" t="str">
        <x:v>V100</x:v>
      </x:c>
      <x:c r="G8" s="13" t="str">
        <x:v>V104</x:v>
      </x:c>
      <x:c r="H8" s="13" t="str">
        <x:v>대한민국</x:v>
      </x:c>
      <x:c r="I8" s="13" t="str">
        <x:v>UAE</x:v>
      </x:c>
      <x:c r="J8" s="13" t="str">
        <x:v>SEA</x:v>
      </x:c>
      <x:c r="K8" s="13" t="n">
        <x:v>1</x:v>
      </x:c>
      <x:c r="L8" s="13" t="n">
        <x:v>37.5665</x:v>
      </x:c>
      <x:c r="M8" s="13" t="n">
        <x:v>126.978</x:v>
      </x:c>
      <x:c r="N8" s="13" t="n">
        <x:v>25.2048</x:v>
      </x:c>
      <x:c r="O8" s="13" t="n">
        <x:v>55.2708</x:v>
      </x:c>
      <x:c r="P8" s="16" t="n">
        <x:v>6783.4</x:v>
      </x:c>
      <x:c r="Q8" s="16" t="n">
        <x:f>VLOOKUP(J8,Assumptions!$A$2:$H$5,2,FALSE)</x:f>
        <x:v>1.35</x:v>
      </x:c>
      <x:c r="R8" s="16" t="n">
        <x:f>ROUND(P8*Q8,0)</x:f>
        <x:v>9158</x:v>
      </x:c>
      <x:c r="S8" s="17" t="n">
        <x:f>VLOOKUP(J8,Assumptions!$A$2:$H$5,3,FALSE)</x:f>
        <x:v>600</x:v>
      </x:c>
      <x:c r="T8" s="17" t="n">
        <x:f>VLOOKUP(J8,Assumptions!$A$2:$H$5,4,FALSE)</x:f>
        <x:v>2</x:v>
      </x:c>
      <x:c r="U8" s="17" t="n">
        <x:f>VLOOKUP(J8,Assumptions!$A$2:$H$5,5,FALSE)</x:f>
        <x:v>4</x:v>
      </x:c>
      <x:c r="V8" s="17" t="n">
        <x:f>VLOOKUP(J8,Assumptions!$A$2:$H$5,6,FALSE)</x:f>
        <x:v>3</x:v>
      </x:c>
      <x:c r="W8" s="17" t="n">
        <x:f>VLOOKUP(J8,Assumptions!$A$2:$H$5,7,FALSE)</x:f>
        <x:v>2</x:v>
      </x:c>
      <x:c r="X8" s="17" t="n">
        <x:f>R8/S8</x:f>
        <x:v>15.263333333333334</x:v>
      </x:c>
      <x:c r="Y8" s="17" t="n">
        <x:f>ROUNDUP(SUM(T8:X8),0)</x:f>
        <x:v>27</x:v>
      </x:c>
      <x:c r="Z8" s="17" t="n">
        <x:f>VLOOKUP(J8,Assumptions!$A$2:$H$5,8,FALSE)</x:f>
        <x:v>1.5</x:v>
      </x:c>
      <x:c r="AA8" s="17" t="n">
        <x:f>ROUNDUP(Y8*Z8,0)</x:f>
        <x:v>41</x:v>
      </x:c>
      <x:c r="AB8" s="17" t="n">
        <x:f>AA8</x:f>
        <x:v>41</x:v>
      </x:c>
      <x:c r="AC8" s="13" t="str">
        <x:v>SYNTHETIC_CALCULATED</x:v>
      </x:c>
      <x:c r="AD8" s="13" t="str">
        <x:v>GEODESIC_MODE_FACTOR_V1</x:v>
      </x:c>
      <x:c r="AE8" s="13" t="str">
        <x:v>LOW</x:v>
      </x:c>
      <x:c r="AF8" s="13" t="str">
        <x:v>DRAFT</x:v>
      </x:c>
      <x:c r="AG8" s="13" t="str">
        <x:v>https://developer.searoutes.com/reference/getsearoute</x:v>
      </x:c>
      <x:c r="AH8" s="13" t="str">
        <x:v>2026-09-02</x:v>
      </x:c>
    </x:row>
    <x:row r="9">
      <x:c r="A9" s="13" t="str">
        <x:v>V100-V104-AIR</x:v>
      </x:c>
      <x:c r="B9" s="13" t="str">
        <x:v>NET-C100</x:v>
      </x:c>
      <x:c r="C9" s="13" t="str">
        <x:v>SYNTH-20260902-V1</x:v>
      </x:c>
      <x:c r="D9" s="13" t="str">
        <x:v>DSE</x:v>
      </x:c>
      <x:c r="E9" s="13" t="str">
        <x:v>C100</x:v>
      </x:c>
      <x:c r="F9" s="13" t="str">
        <x:v>V100</x:v>
      </x:c>
      <x:c r="G9" s="13" t="str">
        <x:v>V104</x:v>
      </x:c>
      <x:c r="H9" s="13" t="str">
        <x:v>대한민국</x:v>
      </x:c>
      <x:c r="I9" s="13" t="str">
        <x:v>UAE</x:v>
      </x:c>
      <x:c r="J9" s="13" t="str">
        <x:v>AIR</x:v>
      </x:c>
      <x:c r="K9" s="13" t="n">
        <x:v>2</x:v>
      </x:c>
      <x:c r="L9" s="13" t="n">
        <x:v>37.5665</x:v>
      </x:c>
      <x:c r="M9" s="13" t="n">
        <x:v>126.978</x:v>
      </x:c>
      <x:c r="N9" s="13" t="n">
        <x:v>25.2048</x:v>
      </x:c>
      <x:c r="O9" s="13" t="n">
        <x:v>55.2708</x:v>
      </x:c>
      <x:c r="P9" s="16" t="n">
        <x:v>6783.4</x:v>
      </x:c>
      <x:c r="Q9" s="16" t="n">
        <x:f>VLOOKUP(J9,Assumptions!$A$2:$H$5,2,FALSE)</x:f>
        <x:v>1.05</x:v>
      </x:c>
      <x:c r="R9" s="16" t="n">
        <x:f>ROUND(P9*Q9,0)</x:f>
        <x:v>7123</x:v>
      </x:c>
      <x:c r="S9" s="17" t="n">
        <x:f>VLOOKUP(J9,Assumptions!$A$2:$H$5,3,FALSE)</x:f>
        <x:v>18000</x:v>
      </x:c>
      <x:c r="T9" s="17" t="n">
        <x:f>VLOOKUP(J9,Assumptions!$A$2:$H$5,4,FALSE)</x:f>
        <x:v>1</x:v>
      </x:c>
      <x:c r="U9" s="17" t="n">
        <x:f>VLOOKUP(J9,Assumptions!$A$2:$H$5,5,FALSE)</x:f>
        <x:v>1</x:v>
      </x:c>
      <x:c r="V9" s="17" t="n">
        <x:f>VLOOKUP(J9,Assumptions!$A$2:$H$5,6,FALSE)</x:f>
        <x:v>2</x:v>
      </x:c>
      <x:c r="W9" s="17" t="n">
        <x:f>VLOOKUP(J9,Assumptions!$A$2:$H$5,7,FALSE)</x:f>
        <x:v>1</x:v>
      </x:c>
      <x:c r="X9" s="17" t="n">
        <x:f>R9/S9</x:f>
        <x:v>0.3957222222222222</x:v>
      </x:c>
      <x:c r="Y9" s="17" t="n">
        <x:f>ROUNDUP(SUM(T9:X9),0)</x:f>
        <x:v>6</x:v>
      </x:c>
      <x:c r="Z9" s="17" t="n">
        <x:f>VLOOKUP(J9,Assumptions!$A$2:$H$5,8,FALSE)</x:f>
        <x:v>1.3</x:v>
      </x:c>
      <x:c r="AA9" s="17" t="n">
        <x:f>ROUNDUP(Y9*Z9,0)</x:f>
        <x:v>8</x:v>
      </x:c>
      <x:c r="AB9" s="17" t="n">
        <x:f>AA9</x:f>
        <x:v>8</x:v>
      </x:c>
      <x:c r="AC9" s="13" t="str">
        <x:v>SYNTHETIC_CALCULATED</x:v>
      </x:c>
      <x:c r="AD9" s="13" t="str">
        <x:v>GEODESIC_MODE_FACTOR_V1</x:v>
      </x:c>
      <x:c r="AE9" s="13" t="str">
        <x:v>LOW</x:v>
      </x:c>
      <x:c r="AF9" s="13" t="str">
        <x:v>DRAFT</x:v>
      </x:c>
      <x:c r="AG9" s="13" t="str">
        <x:v>https://www.oag.com/airline-schedules-data</x:v>
      </x:c>
      <x:c r="AH9" s="13" t="str">
        <x:v>2026-09-02</x:v>
      </x:c>
    </x:row>
    <x:row r="10">
      <x:c r="A10" s="13" t="str">
        <x:v>V110-V111-SEA</x:v>
      </x:c>
      <x:c r="B10" s="13" t="str">
        <x:v>NET-C110</x:v>
      </x:c>
      <x:c r="C10" s="13" t="str">
        <x:v>SYNTH-20260902-V1</x:v>
      </x:c>
      <x:c r="D10" s="13" t="str">
        <x:v>DSE</x:v>
      </x:c>
      <x:c r="E10" s="13" t="str">
        <x:v>C110</x:v>
      </x:c>
      <x:c r="F10" s="13" t="str">
        <x:v>V110</x:v>
      </x:c>
      <x:c r="G10" s="13" t="str">
        <x:v>V111</x:v>
      </x:c>
      <x:c r="H10" s="13" t="str">
        <x:v>베트남</x:v>
      </x:c>
      <x:c r="I10" s="13" t="str">
        <x:v>인도네시아</x:v>
      </x:c>
      <x:c r="J10" s="13" t="str">
        <x:v>SEA</x:v>
      </x:c>
      <x:c r="K10" s="13" t="n">
        <x:v>1</x:v>
      </x:c>
      <x:c r="L10" s="13" t="n">
        <x:v>10.8231</x:v>
      </x:c>
      <x:c r="M10" s="13" t="n">
        <x:v>106.6297</x:v>
      </x:c>
      <x:c r="N10" s="13" t="n">
        <x:v>-6.2088</x:v>
      </x:c>
      <x:c r="O10" s="13" t="n">
        <x:v>106.8456</x:v>
      </x:c>
      <x:c r="P10" s="16" t="n">
        <x:v>1894</x:v>
      </x:c>
      <x:c r="Q10" s="16" t="n">
        <x:f>VLOOKUP(J10,Assumptions!$A$2:$H$5,2,FALSE)</x:f>
        <x:v>1.35</x:v>
      </x:c>
      <x:c r="R10" s="16" t="n">
        <x:f>ROUND(P10*Q10,0)</x:f>
        <x:v>2557</x:v>
      </x:c>
      <x:c r="S10" s="17" t="n">
        <x:f>VLOOKUP(J10,Assumptions!$A$2:$H$5,3,FALSE)</x:f>
        <x:v>600</x:v>
      </x:c>
      <x:c r="T10" s="17" t="n">
        <x:f>VLOOKUP(J10,Assumptions!$A$2:$H$5,4,FALSE)</x:f>
        <x:v>2</x:v>
      </x:c>
      <x:c r="U10" s="17" t="n">
        <x:f>VLOOKUP(J10,Assumptions!$A$2:$H$5,5,FALSE)</x:f>
        <x:v>4</x:v>
      </x:c>
      <x:c r="V10" s="17" t="n">
        <x:f>VLOOKUP(J10,Assumptions!$A$2:$H$5,6,FALSE)</x:f>
        <x:v>3</x:v>
      </x:c>
      <x:c r="W10" s="17" t="n">
        <x:f>VLOOKUP(J10,Assumptions!$A$2:$H$5,7,FALSE)</x:f>
        <x:v>2</x:v>
      </x:c>
      <x:c r="X10" s="17" t="n">
        <x:f>R10/S10</x:f>
        <x:v>4.261666666666667</x:v>
      </x:c>
      <x:c r="Y10" s="17" t="n">
        <x:f>ROUNDUP(SUM(T10:X10),0)</x:f>
        <x:v>16</x:v>
      </x:c>
      <x:c r="Z10" s="17" t="n">
        <x:f>VLOOKUP(J10,Assumptions!$A$2:$H$5,8,FALSE)</x:f>
        <x:v>1.5</x:v>
      </x:c>
      <x:c r="AA10" s="17" t="n">
        <x:f>ROUNDUP(Y10*Z10,0)</x:f>
        <x:v>24</x:v>
      </x:c>
      <x:c r="AB10" s="17" t="n">
        <x:f>AA10</x:f>
        <x:v>24</x:v>
      </x:c>
      <x:c r="AC10" s="13" t="str">
        <x:v>SYNTHETIC_CALCULATED</x:v>
      </x:c>
      <x:c r="AD10" s="13" t="str">
        <x:v>GEODESIC_MODE_FACTOR_V1</x:v>
      </x:c>
      <x:c r="AE10" s="13" t="str">
        <x:v>LOW</x:v>
      </x:c>
      <x:c r="AF10" s="13" t="str">
        <x:v>DRAFT</x:v>
      </x:c>
      <x:c r="AG10" s="13" t="str">
        <x:v>https://developer.searoutes.com/reference/getsearoute</x:v>
      </x:c>
      <x:c r="AH10" s="13" t="str">
        <x:v>2026-09-02</x:v>
      </x:c>
    </x:row>
    <x:row r="11">
      <x:c r="A11" s="13" t="str">
        <x:v>V110-V111-AIR</x:v>
      </x:c>
      <x:c r="B11" s="13" t="str">
        <x:v>NET-C110</x:v>
      </x:c>
      <x:c r="C11" s="13" t="str">
        <x:v>SYNTH-20260902-V1</x:v>
      </x:c>
      <x:c r="D11" s="13" t="str">
        <x:v>DSE</x:v>
      </x:c>
      <x:c r="E11" s="13" t="str">
        <x:v>C110</x:v>
      </x:c>
      <x:c r="F11" s="13" t="str">
        <x:v>V110</x:v>
      </x:c>
      <x:c r="G11" s="13" t="str">
        <x:v>V111</x:v>
      </x:c>
      <x:c r="H11" s="13" t="str">
        <x:v>베트남</x:v>
      </x:c>
      <x:c r="I11" s="13" t="str">
        <x:v>인도네시아</x:v>
      </x:c>
      <x:c r="J11" s="13" t="str">
        <x:v>AIR</x:v>
      </x:c>
      <x:c r="K11" s="13" t="n">
        <x:v>2</x:v>
      </x:c>
      <x:c r="L11" s="13" t="n">
        <x:v>10.8231</x:v>
      </x:c>
      <x:c r="M11" s="13" t="n">
        <x:v>106.6297</x:v>
      </x:c>
      <x:c r="N11" s="13" t="n">
        <x:v>-6.2088</x:v>
      </x:c>
      <x:c r="O11" s="13" t="n">
        <x:v>106.8456</x:v>
      </x:c>
      <x:c r="P11" s="16" t="n">
        <x:v>1894</x:v>
      </x:c>
      <x:c r="Q11" s="16" t="n">
        <x:f>VLOOKUP(J11,Assumptions!$A$2:$H$5,2,FALSE)</x:f>
        <x:v>1.05</x:v>
      </x:c>
      <x:c r="R11" s="16" t="n">
        <x:f>ROUND(P11*Q11,0)</x:f>
        <x:v>1989</x:v>
      </x:c>
      <x:c r="S11" s="17" t="n">
        <x:f>VLOOKUP(J11,Assumptions!$A$2:$H$5,3,FALSE)</x:f>
        <x:v>18000</x:v>
      </x:c>
      <x:c r="T11" s="17" t="n">
        <x:f>VLOOKUP(J11,Assumptions!$A$2:$H$5,4,FALSE)</x:f>
        <x:v>1</x:v>
      </x:c>
      <x:c r="U11" s="17" t="n">
        <x:f>VLOOKUP(J11,Assumptions!$A$2:$H$5,5,FALSE)</x:f>
        <x:v>1</x:v>
      </x:c>
      <x:c r="V11" s="17" t="n">
        <x:f>VLOOKUP(J11,Assumptions!$A$2:$H$5,6,FALSE)</x:f>
        <x:v>2</x:v>
      </x:c>
      <x:c r="W11" s="17" t="n">
        <x:f>VLOOKUP(J11,Assumptions!$A$2:$H$5,7,FALSE)</x:f>
        <x:v>1</x:v>
      </x:c>
      <x:c r="X11" s="17" t="n">
        <x:f>R11/S11</x:f>
        <x:v>0.1105</x:v>
      </x:c>
      <x:c r="Y11" s="17" t="n">
        <x:f>ROUNDUP(SUM(T11:X11),0)</x:f>
        <x:v>6</x:v>
      </x:c>
      <x:c r="Z11" s="17" t="n">
        <x:f>VLOOKUP(J11,Assumptions!$A$2:$H$5,8,FALSE)</x:f>
        <x:v>1.3</x:v>
      </x:c>
      <x:c r="AA11" s="17" t="n">
        <x:f>ROUNDUP(Y11*Z11,0)</x:f>
        <x:v>8</x:v>
      </x:c>
      <x:c r="AB11" s="17" t="n">
        <x:f>AA11</x:f>
        <x:v>8</x:v>
      </x:c>
      <x:c r="AC11" s="13" t="str">
        <x:v>SYNTHETIC_CALCULATED</x:v>
      </x:c>
      <x:c r="AD11" s="13" t="str">
        <x:v>GEODESIC_MODE_FACTOR_V1</x:v>
      </x:c>
      <x:c r="AE11" s="13" t="str">
        <x:v>LOW</x:v>
      </x:c>
      <x:c r="AF11" s="13" t="str">
        <x:v>DRAFT</x:v>
      </x:c>
      <x:c r="AG11" s="13" t="str">
        <x:v>https://www.oag.com/airline-schedules-data</x:v>
      </x:c>
      <x:c r="AH11" s="13" t="str">
        <x:v>2026-09-02</x:v>
      </x:c>
    </x:row>
    <x:row r="12">
      <x:c r="A12" s="13" t="str">
        <x:v>V110-V112-ROAD</x:v>
      </x:c>
      <x:c r="B12" s="13" t="str">
        <x:v>NET-C110</x:v>
      </x:c>
      <x:c r="C12" s="13" t="str">
        <x:v>SYNTH-20260902-V1</x:v>
      </x:c>
      <x:c r="D12" s="13" t="str">
        <x:v>DSE</x:v>
      </x:c>
      <x:c r="E12" s="13" t="str">
        <x:v>C110</x:v>
      </x:c>
      <x:c r="F12" s="13" t="str">
        <x:v>V110</x:v>
      </x:c>
      <x:c r="G12" s="13" t="str">
        <x:v>V112</x:v>
      </x:c>
      <x:c r="H12" s="13" t="str">
        <x:v>베트남</x:v>
      </x:c>
      <x:c r="I12" s="13" t="str">
        <x:v>태국</x:v>
      </x:c>
      <x:c r="J12" s="13" t="str">
        <x:v>ROAD</x:v>
      </x:c>
      <x:c r="K12" s="13" t="n">
        <x:v>1</x:v>
      </x:c>
      <x:c r="L12" s="13" t="n">
        <x:v>10.8231</x:v>
      </x:c>
      <x:c r="M12" s="13" t="n">
        <x:v>106.6297</x:v>
      </x:c>
      <x:c r="N12" s="13" t="n">
        <x:v>13.7563</x:v>
      </x:c>
      <x:c r="O12" s="13" t="n">
        <x:v>100.5018</x:v>
      </x:c>
      <x:c r="P12" s="16" t="n">
        <x:v>741.3</x:v>
      </x:c>
      <x:c r="Q12" s="16" t="n">
        <x:f>VLOOKUP(J12,Assumptions!$A$2:$H$5,2,FALSE)</x:f>
        <x:v>1.2</x:v>
      </x:c>
      <x:c r="R12" s="16" t="n">
        <x:f>ROUND(P12*Q12,0)</x:f>
        <x:v>890</x:v>
      </x:c>
      <x:c r="S12" s="17" t="n">
        <x:f>VLOOKUP(J12,Assumptions!$A$2:$H$5,3,FALSE)</x:f>
        <x:v>600</x:v>
      </x:c>
      <x:c r="T12" s="17" t="n">
        <x:f>VLOOKUP(J12,Assumptions!$A$2:$H$5,4,FALSE)</x:f>
        <x:v>0.5</x:v>
      </x:c>
      <x:c r="U12" s="17" t="n">
        <x:f>VLOOKUP(J12,Assumptions!$A$2:$H$5,5,FALSE)</x:f>
        <x:v>0.5</x:v>
      </x:c>
      <x:c r="V12" s="17" t="n">
        <x:f>VLOOKUP(J12,Assumptions!$A$2:$H$5,6,FALSE)</x:f>
        <x:v>1</x:v>
      </x:c>
      <x:c r="W12" s="17" t="n">
        <x:f>VLOOKUP(J12,Assumptions!$A$2:$H$5,7,FALSE)</x:f>
        <x:v>0.5</x:v>
      </x:c>
      <x:c r="X12" s="17" t="n">
        <x:f>R12/S12</x:f>
        <x:v>1.4833333333333334</x:v>
      </x:c>
      <x:c r="Y12" s="17" t="n">
        <x:f>ROUNDUP(SUM(T12:X12),0)</x:f>
        <x:v>4</x:v>
      </x:c>
      <x:c r="Z12" s="17" t="n">
        <x:f>VLOOKUP(J12,Assumptions!$A$2:$H$5,8,FALSE)</x:f>
        <x:v>1.4</x:v>
      </x:c>
      <x:c r="AA12" s="17" t="n">
        <x:f>ROUNDUP(Y12*Z12,0)</x:f>
        <x:v>6</x:v>
      </x:c>
      <x:c r="AB12" s="17" t="n">
        <x:f>AA12</x:f>
        <x:v>6</x:v>
      </x:c>
      <x:c r="AC12" s="13" t="str">
        <x:v>SYNTHETIC_CALCULATED</x:v>
      </x:c>
      <x:c r="AD12" s="13" t="str">
        <x:v>GEODESIC_MODE_FACTOR_V1</x:v>
      </x:c>
      <x:c r="AE12" s="13" t="str">
        <x:v>LOW</x:v>
      </x:c>
      <x:c r="AF12" s="13" t="str">
        <x:v>DRAFT</x:v>
      </x:c>
      <x:c r="AG12" s="13" t="str">
        <x:v>https://developers.google.com/maps/documentation/routes/compute_route_matrix</x:v>
      </x:c>
      <x:c r="AH12" s="13" t="str">
        <x:v>2026-09-02</x:v>
      </x:c>
    </x:row>
    <x:row r="13">
      <x:c r="A13" s="13" t="str">
        <x:v>V110-V112-AIR</x:v>
      </x:c>
      <x:c r="B13" s="13" t="str">
        <x:v>NET-C110</x:v>
      </x:c>
      <x:c r="C13" s="13" t="str">
        <x:v>SYNTH-20260902-V1</x:v>
      </x:c>
      <x:c r="D13" s="13" t="str">
        <x:v>DSE</x:v>
      </x:c>
      <x:c r="E13" s="13" t="str">
        <x:v>C110</x:v>
      </x:c>
      <x:c r="F13" s="13" t="str">
        <x:v>V110</x:v>
      </x:c>
      <x:c r="G13" s="13" t="str">
        <x:v>V112</x:v>
      </x:c>
      <x:c r="H13" s="13" t="str">
        <x:v>베트남</x:v>
      </x:c>
      <x:c r="I13" s="13" t="str">
        <x:v>태국</x:v>
      </x:c>
      <x:c r="J13" s="13" t="str">
        <x:v>AIR</x:v>
      </x:c>
      <x:c r="K13" s="13" t="n">
        <x:v>2</x:v>
      </x:c>
      <x:c r="L13" s="13" t="n">
        <x:v>10.8231</x:v>
      </x:c>
      <x:c r="M13" s="13" t="n">
        <x:v>106.6297</x:v>
      </x:c>
      <x:c r="N13" s="13" t="n">
        <x:v>13.7563</x:v>
      </x:c>
      <x:c r="O13" s="13" t="n">
        <x:v>100.5018</x:v>
      </x:c>
      <x:c r="P13" s="16" t="n">
        <x:v>741.3</x:v>
      </x:c>
      <x:c r="Q13" s="16" t="n">
        <x:f>VLOOKUP(J13,Assumptions!$A$2:$H$5,2,FALSE)</x:f>
        <x:v>1.05</x:v>
      </x:c>
      <x:c r="R13" s="16" t="n">
        <x:f>ROUND(P13*Q13,0)</x:f>
        <x:v>778</x:v>
      </x:c>
      <x:c r="S13" s="17" t="n">
        <x:f>VLOOKUP(J13,Assumptions!$A$2:$H$5,3,FALSE)</x:f>
        <x:v>18000</x:v>
      </x:c>
      <x:c r="T13" s="17" t="n">
        <x:f>VLOOKUP(J13,Assumptions!$A$2:$H$5,4,FALSE)</x:f>
        <x:v>1</x:v>
      </x:c>
      <x:c r="U13" s="17" t="n">
        <x:f>VLOOKUP(J13,Assumptions!$A$2:$H$5,5,FALSE)</x:f>
        <x:v>1</x:v>
      </x:c>
      <x:c r="V13" s="17" t="n">
        <x:f>VLOOKUP(J13,Assumptions!$A$2:$H$5,6,FALSE)</x:f>
        <x:v>2</x:v>
      </x:c>
      <x:c r="W13" s="17" t="n">
        <x:f>VLOOKUP(J13,Assumptions!$A$2:$H$5,7,FALSE)</x:f>
        <x:v>1</x:v>
      </x:c>
      <x:c r="X13" s="17" t="n">
        <x:f>R13/S13</x:f>
        <x:v>0.043222222222222224</x:v>
      </x:c>
      <x:c r="Y13" s="17" t="n">
        <x:f>ROUNDUP(SUM(T13:X13),0)</x:f>
        <x:v>6</x:v>
      </x:c>
      <x:c r="Z13" s="17" t="n">
        <x:f>VLOOKUP(J13,Assumptions!$A$2:$H$5,8,FALSE)</x:f>
        <x:v>1.3</x:v>
      </x:c>
      <x:c r="AA13" s="17" t="n">
        <x:f>ROUNDUP(Y13*Z13,0)</x:f>
        <x:v>8</x:v>
      </x:c>
      <x:c r="AB13" s="17" t="n">
        <x:f>AA13</x:f>
        <x:v>8</x:v>
      </x:c>
      <x:c r="AC13" s="13" t="str">
        <x:v>SYNTHETIC_CALCULATED</x:v>
      </x:c>
      <x:c r="AD13" s="13" t="str">
        <x:v>GEODESIC_MODE_FACTOR_V1</x:v>
      </x:c>
      <x:c r="AE13" s="13" t="str">
        <x:v>LOW</x:v>
      </x:c>
      <x:c r="AF13" s="13" t="str">
        <x:v>DRAFT</x:v>
      </x:c>
      <x:c r="AG13" s="13" t="str">
        <x:v>https://www.oag.com/airline-schedules-data</x:v>
      </x:c>
      <x:c r="AH13" s="13" t="str">
        <x:v>2026-09-02</x:v>
      </x:c>
    </x:row>
    <x:row r="14">
      <x:c r="A14" s="13" t="str">
        <x:v>V110-V113-SEA</x:v>
      </x:c>
      <x:c r="B14" s="13" t="str">
        <x:v>NET-C110</x:v>
      </x:c>
      <x:c r="C14" s="13" t="str">
        <x:v>SYNTH-20260902-V1</x:v>
      </x:c>
      <x:c r="D14" s="13" t="str">
        <x:v>DSE</x:v>
      </x:c>
      <x:c r="E14" s="13" t="str">
        <x:v>C110</x:v>
      </x:c>
      <x:c r="F14" s="13" t="str">
        <x:v>V110</x:v>
      </x:c>
      <x:c r="G14" s="13" t="str">
        <x:v>V113</x:v>
      </x:c>
      <x:c r="H14" s="13" t="str">
        <x:v>베트남</x:v>
      </x:c>
      <x:c r="I14" s="13" t="str">
        <x:v>필리핀</x:v>
      </x:c>
      <x:c r="J14" s="13" t="str">
        <x:v>SEA</x:v>
      </x:c>
      <x:c r="K14" s="13" t="n">
        <x:v>1</x:v>
      </x:c>
      <x:c r="L14" s="13" t="n">
        <x:v>10.8231</x:v>
      </x:c>
      <x:c r="M14" s="13" t="n">
        <x:v>106.6297</x:v>
      </x:c>
      <x:c r="N14" s="13" t="n">
        <x:v>14.5995</x:v>
      </x:c>
      <x:c r="O14" s="13" t="n">
        <x:v>120.9842</x:v>
      </x:c>
      <x:c r="P14" s="16" t="n">
        <x:v>1612.2</x:v>
      </x:c>
      <x:c r="Q14" s="16" t="n">
        <x:f>VLOOKUP(J14,Assumptions!$A$2:$H$5,2,FALSE)</x:f>
        <x:v>1.35</x:v>
      </x:c>
      <x:c r="R14" s="16" t="n">
        <x:f>ROUND(P14*Q14,0)</x:f>
        <x:v>2176</x:v>
      </x:c>
      <x:c r="S14" s="17" t="n">
        <x:f>VLOOKUP(J14,Assumptions!$A$2:$H$5,3,FALSE)</x:f>
        <x:v>600</x:v>
      </x:c>
      <x:c r="T14" s="17" t="n">
        <x:f>VLOOKUP(J14,Assumptions!$A$2:$H$5,4,FALSE)</x:f>
        <x:v>2</x:v>
      </x:c>
      <x:c r="U14" s="17" t="n">
        <x:f>VLOOKUP(J14,Assumptions!$A$2:$H$5,5,FALSE)</x:f>
        <x:v>4</x:v>
      </x:c>
      <x:c r="V14" s="17" t="n">
        <x:f>VLOOKUP(J14,Assumptions!$A$2:$H$5,6,FALSE)</x:f>
        <x:v>3</x:v>
      </x:c>
      <x:c r="W14" s="17" t="n">
        <x:f>VLOOKUP(J14,Assumptions!$A$2:$H$5,7,FALSE)</x:f>
        <x:v>2</x:v>
      </x:c>
      <x:c r="X14" s="17" t="n">
        <x:f>R14/S14</x:f>
        <x:v>3.6266666666666665</x:v>
      </x:c>
      <x:c r="Y14" s="17" t="n">
        <x:f>ROUNDUP(SUM(T14:X14),0)</x:f>
        <x:v>15</x:v>
      </x:c>
      <x:c r="Z14" s="17" t="n">
        <x:f>VLOOKUP(J14,Assumptions!$A$2:$H$5,8,FALSE)</x:f>
        <x:v>1.5</x:v>
      </x:c>
      <x:c r="AA14" s="17" t="n">
        <x:f>ROUNDUP(Y14*Z14,0)</x:f>
        <x:v>23</x:v>
      </x:c>
      <x:c r="AB14" s="17" t="n">
        <x:f>AA14</x:f>
        <x:v>23</x:v>
      </x:c>
      <x:c r="AC14" s="13" t="str">
        <x:v>SYNTHETIC_CALCULATED</x:v>
      </x:c>
      <x:c r="AD14" s="13" t="str">
        <x:v>GEODESIC_MODE_FACTOR_V1</x:v>
      </x:c>
      <x:c r="AE14" s="13" t="str">
        <x:v>LOW</x:v>
      </x:c>
      <x:c r="AF14" s="13" t="str">
        <x:v>DRAFT</x:v>
      </x:c>
      <x:c r="AG14" s="13" t="str">
        <x:v>https://developer.searoutes.com/reference/getsearoute</x:v>
      </x:c>
      <x:c r="AH14" s="13" t="str">
        <x:v>2026-09-02</x:v>
      </x:c>
    </x:row>
    <x:row r="15">
      <x:c r="A15" s="13" t="str">
        <x:v>V110-V113-AIR</x:v>
      </x:c>
      <x:c r="B15" s="13" t="str">
        <x:v>NET-C110</x:v>
      </x:c>
      <x:c r="C15" s="13" t="str">
        <x:v>SYNTH-20260902-V1</x:v>
      </x:c>
      <x:c r="D15" s="13" t="str">
        <x:v>DSE</x:v>
      </x:c>
      <x:c r="E15" s="13" t="str">
        <x:v>C110</x:v>
      </x:c>
      <x:c r="F15" s="13" t="str">
        <x:v>V110</x:v>
      </x:c>
      <x:c r="G15" s="13" t="str">
        <x:v>V113</x:v>
      </x:c>
      <x:c r="H15" s="13" t="str">
        <x:v>베트남</x:v>
      </x:c>
      <x:c r="I15" s="13" t="str">
        <x:v>필리핀</x:v>
      </x:c>
      <x:c r="J15" s="13" t="str">
        <x:v>AIR</x:v>
      </x:c>
      <x:c r="K15" s="13" t="n">
        <x:v>2</x:v>
      </x:c>
      <x:c r="L15" s="13" t="n">
        <x:v>10.8231</x:v>
      </x:c>
      <x:c r="M15" s="13" t="n">
        <x:v>106.6297</x:v>
      </x:c>
      <x:c r="N15" s="13" t="n">
        <x:v>14.5995</x:v>
      </x:c>
      <x:c r="O15" s="13" t="n">
        <x:v>120.9842</x:v>
      </x:c>
      <x:c r="P15" s="16" t="n">
        <x:v>1612.2</x:v>
      </x:c>
      <x:c r="Q15" s="16" t="n">
        <x:f>VLOOKUP(J15,Assumptions!$A$2:$H$5,2,FALSE)</x:f>
        <x:v>1.05</x:v>
      </x:c>
      <x:c r="R15" s="16" t="n">
        <x:f>ROUND(P15*Q15,0)</x:f>
        <x:v>1693</x:v>
      </x:c>
      <x:c r="S15" s="17" t="n">
        <x:f>VLOOKUP(J15,Assumptions!$A$2:$H$5,3,FALSE)</x:f>
        <x:v>18000</x:v>
      </x:c>
      <x:c r="T15" s="17" t="n">
        <x:f>VLOOKUP(J15,Assumptions!$A$2:$H$5,4,FALSE)</x:f>
        <x:v>1</x:v>
      </x:c>
      <x:c r="U15" s="17" t="n">
        <x:f>VLOOKUP(J15,Assumptions!$A$2:$H$5,5,FALSE)</x:f>
        <x:v>1</x:v>
      </x:c>
      <x:c r="V15" s="17" t="n">
        <x:f>VLOOKUP(J15,Assumptions!$A$2:$H$5,6,FALSE)</x:f>
        <x:v>2</x:v>
      </x:c>
      <x:c r="W15" s="17" t="n">
        <x:f>VLOOKUP(J15,Assumptions!$A$2:$H$5,7,FALSE)</x:f>
        <x:v>1</x:v>
      </x:c>
      <x:c r="X15" s="17" t="n">
        <x:f>R15/S15</x:f>
        <x:v>0.09405555555555556</x:v>
      </x:c>
      <x:c r="Y15" s="17" t="n">
        <x:f>ROUNDUP(SUM(T15:X15),0)</x:f>
        <x:v>6</x:v>
      </x:c>
      <x:c r="Z15" s="17" t="n">
        <x:f>VLOOKUP(J15,Assumptions!$A$2:$H$5,8,FALSE)</x:f>
        <x:v>1.3</x:v>
      </x:c>
      <x:c r="AA15" s="17" t="n">
        <x:f>ROUNDUP(Y15*Z15,0)</x:f>
        <x:v>8</x:v>
      </x:c>
      <x:c r="AB15" s="17" t="n">
        <x:f>AA15</x:f>
        <x:v>8</x:v>
      </x:c>
      <x:c r="AC15" s="13" t="str">
        <x:v>SYNTHETIC_CALCULATED</x:v>
      </x:c>
      <x:c r="AD15" s="13" t="str">
        <x:v>GEODESIC_MODE_FACTOR_V1</x:v>
      </x:c>
      <x:c r="AE15" s="13" t="str">
        <x:v>LOW</x:v>
      </x:c>
      <x:c r="AF15" s="13" t="str">
        <x:v>DRAFT</x:v>
      </x:c>
      <x:c r="AG15" s="13" t="str">
        <x:v>https://www.oag.com/airline-schedules-data</x:v>
      </x:c>
      <x:c r="AH15" s="13" t="str">
        <x:v>2026-09-02</x:v>
      </x:c>
    </x:row>
    <x:row r="16">
      <x:c r="A16" s="13" t="str">
        <x:v>V110-V114-SEA</x:v>
      </x:c>
      <x:c r="B16" s="13" t="str">
        <x:v>NET-C110</x:v>
      </x:c>
      <x:c r="C16" s="13" t="str">
        <x:v>SYNTH-20260902-V1</x:v>
      </x:c>
      <x:c r="D16" s="13" t="str">
        <x:v>DSE</x:v>
      </x:c>
      <x:c r="E16" s="13" t="str">
        <x:v>C110</x:v>
      </x:c>
      <x:c r="F16" s="13" t="str">
        <x:v>V110</x:v>
      </x:c>
      <x:c r="G16" s="13" t="str">
        <x:v>V114</x:v>
      </x:c>
      <x:c r="H16" s="13" t="str">
        <x:v>베트남</x:v>
      </x:c>
      <x:c r="I16" s="13" t="str">
        <x:v>싱가포르</x:v>
      </x:c>
      <x:c r="J16" s="13" t="str">
        <x:v>SEA</x:v>
      </x:c>
      <x:c r="K16" s="13" t="n">
        <x:v>1</x:v>
      </x:c>
      <x:c r="L16" s="13" t="n">
        <x:v>10.8231</x:v>
      </x:c>
      <x:c r="M16" s="13" t="n">
        <x:v>106.6297</x:v>
      </x:c>
      <x:c r="N16" s="13" t="n">
        <x:v>1.3521</x:v>
      </x:c>
      <x:c r="O16" s="13" t="n">
        <x:v>103.8198</x:v>
      </x:c>
      <x:c r="P16" s="16" t="n">
        <x:v>1097.9</x:v>
      </x:c>
      <x:c r="Q16" s="16" t="n">
        <x:f>VLOOKUP(J16,Assumptions!$A$2:$H$5,2,FALSE)</x:f>
        <x:v>1.35</x:v>
      </x:c>
      <x:c r="R16" s="16" t="n">
        <x:f>ROUND(P16*Q16,0)</x:f>
        <x:v>1482</x:v>
      </x:c>
      <x:c r="S16" s="17" t="n">
        <x:f>VLOOKUP(J16,Assumptions!$A$2:$H$5,3,FALSE)</x:f>
        <x:v>600</x:v>
      </x:c>
      <x:c r="T16" s="17" t="n">
        <x:f>VLOOKUP(J16,Assumptions!$A$2:$H$5,4,FALSE)</x:f>
        <x:v>2</x:v>
      </x:c>
      <x:c r="U16" s="17" t="n">
        <x:f>VLOOKUP(J16,Assumptions!$A$2:$H$5,5,FALSE)</x:f>
        <x:v>4</x:v>
      </x:c>
      <x:c r="V16" s="17" t="n">
        <x:f>VLOOKUP(J16,Assumptions!$A$2:$H$5,6,FALSE)</x:f>
        <x:v>3</x:v>
      </x:c>
      <x:c r="W16" s="17" t="n">
        <x:f>VLOOKUP(J16,Assumptions!$A$2:$H$5,7,FALSE)</x:f>
        <x:v>2</x:v>
      </x:c>
      <x:c r="X16" s="17" t="n">
        <x:f>R16/S16</x:f>
        <x:v>2.47</x:v>
      </x:c>
      <x:c r="Y16" s="17" t="n">
        <x:f>ROUNDUP(SUM(T16:X16),0)</x:f>
        <x:v>14</x:v>
      </x:c>
      <x:c r="Z16" s="17" t="n">
        <x:f>VLOOKUP(J16,Assumptions!$A$2:$H$5,8,FALSE)</x:f>
        <x:v>1.5</x:v>
      </x:c>
      <x:c r="AA16" s="17" t="n">
        <x:f>ROUNDUP(Y16*Z16,0)</x:f>
        <x:v>21</x:v>
      </x:c>
      <x:c r="AB16" s="17" t="n">
        <x:f>AA16</x:f>
        <x:v>21</x:v>
      </x:c>
      <x:c r="AC16" s="13" t="str">
        <x:v>SYNTHETIC_CALCULATED</x:v>
      </x:c>
      <x:c r="AD16" s="13" t="str">
        <x:v>GEODESIC_MODE_FACTOR_V1</x:v>
      </x:c>
      <x:c r="AE16" s="13" t="str">
        <x:v>LOW</x:v>
      </x:c>
      <x:c r="AF16" s="13" t="str">
        <x:v>DRAFT</x:v>
      </x:c>
      <x:c r="AG16" s="13" t="str">
        <x:v>https://developer.searoutes.com/reference/getsearoute</x:v>
      </x:c>
      <x:c r="AH16" s="13" t="str">
        <x:v>2026-09-02</x:v>
      </x:c>
    </x:row>
    <x:row r="17">
      <x:c r="A17" s="13" t="str">
        <x:v>V110-V114-AIR</x:v>
      </x:c>
      <x:c r="B17" s="13" t="str">
        <x:v>NET-C110</x:v>
      </x:c>
      <x:c r="C17" s="13" t="str">
        <x:v>SYNTH-20260902-V1</x:v>
      </x:c>
      <x:c r="D17" s="13" t="str">
        <x:v>DSE</x:v>
      </x:c>
      <x:c r="E17" s="13" t="str">
        <x:v>C110</x:v>
      </x:c>
      <x:c r="F17" s="13" t="str">
        <x:v>V110</x:v>
      </x:c>
      <x:c r="G17" s="13" t="str">
        <x:v>V114</x:v>
      </x:c>
      <x:c r="H17" s="13" t="str">
        <x:v>베트남</x:v>
      </x:c>
      <x:c r="I17" s="13" t="str">
        <x:v>싱가포르</x:v>
      </x:c>
      <x:c r="J17" s="13" t="str">
        <x:v>AIR</x:v>
      </x:c>
      <x:c r="K17" s="13" t="n">
        <x:v>2</x:v>
      </x:c>
      <x:c r="L17" s="13" t="n">
        <x:v>10.8231</x:v>
      </x:c>
      <x:c r="M17" s="13" t="n">
        <x:v>106.6297</x:v>
      </x:c>
      <x:c r="N17" s="13" t="n">
        <x:v>1.3521</x:v>
      </x:c>
      <x:c r="O17" s="13" t="n">
        <x:v>103.8198</x:v>
      </x:c>
      <x:c r="P17" s="16" t="n">
        <x:v>1097.9</x:v>
      </x:c>
      <x:c r="Q17" s="16" t="n">
        <x:f>VLOOKUP(J17,Assumptions!$A$2:$H$5,2,FALSE)</x:f>
        <x:v>1.05</x:v>
      </x:c>
      <x:c r="R17" s="16" t="n">
        <x:f>ROUND(P17*Q17,0)</x:f>
        <x:v>1153</x:v>
      </x:c>
      <x:c r="S17" s="17" t="n">
        <x:f>VLOOKUP(J17,Assumptions!$A$2:$H$5,3,FALSE)</x:f>
        <x:v>18000</x:v>
      </x:c>
      <x:c r="T17" s="17" t="n">
        <x:f>VLOOKUP(J17,Assumptions!$A$2:$H$5,4,FALSE)</x:f>
        <x:v>1</x:v>
      </x:c>
      <x:c r="U17" s="17" t="n">
        <x:f>VLOOKUP(J17,Assumptions!$A$2:$H$5,5,FALSE)</x:f>
        <x:v>1</x:v>
      </x:c>
      <x:c r="V17" s="17" t="n">
        <x:f>VLOOKUP(J17,Assumptions!$A$2:$H$5,6,FALSE)</x:f>
        <x:v>2</x:v>
      </x:c>
      <x:c r="W17" s="17" t="n">
        <x:f>VLOOKUP(J17,Assumptions!$A$2:$H$5,7,FALSE)</x:f>
        <x:v>1</x:v>
      </x:c>
      <x:c r="X17" s="17" t="n">
        <x:f>R17/S17</x:f>
        <x:v>0.06405555555555556</x:v>
      </x:c>
      <x:c r="Y17" s="17" t="n">
        <x:f>ROUNDUP(SUM(T17:X17),0)</x:f>
        <x:v>6</x:v>
      </x:c>
      <x:c r="Z17" s="17" t="n">
        <x:f>VLOOKUP(J17,Assumptions!$A$2:$H$5,8,FALSE)</x:f>
        <x:v>1.3</x:v>
      </x:c>
      <x:c r="AA17" s="17" t="n">
        <x:f>ROUNDUP(Y17*Z17,0)</x:f>
        <x:v>8</x:v>
      </x:c>
      <x:c r="AB17" s="17" t="n">
        <x:f>AA17</x:f>
        <x:v>8</x:v>
      </x:c>
      <x:c r="AC17" s="13" t="str">
        <x:v>SYNTHETIC_CALCULATED</x:v>
      </x:c>
      <x:c r="AD17" s="13" t="str">
        <x:v>GEODESIC_MODE_FACTOR_V1</x:v>
      </x:c>
      <x:c r="AE17" s="13" t="str">
        <x:v>LOW</x:v>
      </x:c>
      <x:c r="AF17" s="13" t="str">
        <x:v>DRAFT</x:v>
      </x:c>
      <x:c r="AG17" s="13" t="str">
        <x:v>https://www.oag.com/airline-schedules-data</x:v>
      </x:c>
      <x:c r="AH17" s="13" t="str">
        <x:v>2026-09-02</x:v>
      </x:c>
    </x:row>
    <x:row r="18">
      <x:c r="A18" s="13" t="str">
        <x:v>V120-V121-ROAD</x:v>
      </x:c>
      <x:c r="B18" s="13" t="str">
        <x:v>NET-C120</x:v>
      </x:c>
      <x:c r="C18" s="13" t="str">
        <x:v>SYNTH-20260902-V1</x:v>
      </x:c>
      <x:c r="D18" s="13" t="str">
        <x:v>DSE</x:v>
      </x:c>
      <x:c r="E18" s="13" t="str">
        <x:v>C120</x:v>
      </x:c>
      <x:c r="F18" s="13" t="str">
        <x:v>V120</x:v>
      </x:c>
      <x:c r="G18" s="13" t="str">
        <x:v>V121</x:v>
      </x:c>
      <x:c r="H18" s="13" t="str">
        <x:v>러시아</x:v>
      </x:c>
      <x:c r="I18" s="13" t="str">
        <x:v>카자흐스탄</x:v>
      </x:c>
      <x:c r="J18" s="13" t="str">
        <x:v>ROAD</x:v>
      </x:c>
      <x:c r="K18" s="13" t="n">
        <x:v>1</x:v>
      </x:c>
      <x:c r="L18" s="13" t="n">
        <x:v>55.7558</x:v>
      </x:c>
      <x:c r="M18" s="13" t="n">
        <x:v>37.6173</x:v>
      </x:c>
      <x:c r="N18" s="13" t="n">
        <x:v>43.222</x:v>
      </x:c>
      <x:c r="O18" s="13" t="n">
        <x:v>76.8512</x:v>
      </x:c>
      <x:c r="P18" s="16" t="n">
        <x:v>3102.8</x:v>
      </x:c>
      <x:c r="Q18" s="16" t="n">
        <x:f>VLOOKUP(J18,Assumptions!$A$2:$H$5,2,FALSE)</x:f>
        <x:v>1.2</x:v>
      </x:c>
      <x:c r="R18" s="16" t="n">
        <x:f>ROUND(P18*Q18,0)</x:f>
        <x:v>3723</x:v>
      </x:c>
      <x:c r="S18" s="17" t="n">
        <x:f>VLOOKUP(J18,Assumptions!$A$2:$H$5,3,FALSE)</x:f>
        <x:v>600</x:v>
      </x:c>
      <x:c r="T18" s="17" t="n">
        <x:f>VLOOKUP(J18,Assumptions!$A$2:$H$5,4,FALSE)</x:f>
        <x:v>0.5</x:v>
      </x:c>
      <x:c r="U18" s="17" t="n">
        <x:f>VLOOKUP(J18,Assumptions!$A$2:$H$5,5,FALSE)</x:f>
        <x:v>0.5</x:v>
      </x:c>
      <x:c r="V18" s="17" t="n">
        <x:f>VLOOKUP(J18,Assumptions!$A$2:$H$5,6,FALSE)</x:f>
        <x:v>1</x:v>
      </x:c>
      <x:c r="W18" s="17" t="n">
        <x:f>VLOOKUP(J18,Assumptions!$A$2:$H$5,7,FALSE)</x:f>
        <x:v>0.5</x:v>
      </x:c>
      <x:c r="X18" s="17" t="n">
        <x:f>R18/S18</x:f>
        <x:v>6.205</x:v>
      </x:c>
      <x:c r="Y18" s="17" t="n">
        <x:f>ROUNDUP(SUM(T18:X18),0)</x:f>
        <x:v>9</x:v>
      </x:c>
      <x:c r="Z18" s="17" t="n">
        <x:f>VLOOKUP(J18,Assumptions!$A$2:$H$5,8,FALSE)</x:f>
        <x:v>1.4</x:v>
      </x:c>
      <x:c r="AA18" s="17" t="n">
        <x:f>ROUNDUP(Y18*Z18,0)</x:f>
        <x:v>13</x:v>
      </x:c>
      <x:c r="AB18" s="17" t="n">
        <x:f>AA18</x:f>
        <x:v>13</x:v>
      </x:c>
      <x:c r="AC18" s="13" t="str">
        <x:v>SYNTHETIC_CALCULATED</x:v>
      </x:c>
      <x:c r="AD18" s="13" t="str">
        <x:v>GEODESIC_MODE_FACTOR_V1</x:v>
      </x:c>
      <x:c r="AE18" s="13" t="str">
        <x:v>LOW</x:v>
      </x:c>
      <x:c r="AF18" s="13" t="str">
        <x:v>DRAFT</x:v>
      </x:c>
      <x:c r="AG18" s="13" t="str">
        <x:v>https://developers.google.com/maps/documentation/routes/compute_route_matrix</x:v>
      </x:c>
      <x:c r="AH18" s="13" t="str">
        <x:v>2026-09-02</x:v>
      </x:c>
    </x:row>
    <x:row r="19">
      <x:c r="A19" s="13" t="str">
        <x:v>V120-V121-AIR</x:v>
      </x:c>
      <x:c r="B19" s="13" t="str">
        <x:v>NET-C120</x:v>
      </x:c>
      <x:c r="C19" s="13" t="str">
        <x:v>SYNTH-20260902-V1</x:v>
      </x:c>
      <x:c r="D19" s="13" t="str">
        <x:v>DSE</x:v>
      </x:c>
      <x:c r="E19" s="13" t="str">
        <x:v>C120</x:v>
      </x:c>
      <x:c r="F19" s="13" t="str">
        <x:v>V120</x:v>
      </x:c>
      <x:c r="G19" s="13" t="str">
        <x:v>V121</x:v>
      </x:c>
      <x:c r="H19" s="13" t="str">
        <x:v>러시아</x:v>
      </x:c>
      <x:c r="I19" s="13" t="str">
        <x:v>카자흐스탄</x:v>
      </x:c>
      <x:c r="J19" s="13" t="str">
        <x:v>AIR</x:v>
      </x:c>
      <x:c r="K19" s="13" t="n">
        <x:v>2</x:v>
      </x:c>
      <x:c r="L19" s="13" t="n">
        <x:v>55.7558</x:v>
      </x:c>
      <x:c r="M19" s="13" t="n">
        <x:v>37.6173</x:v>
      </x:c>
      <x:c r="N19" s="13" t="n">
        <x:v>43.222</x:v>
      </x:c>
      <x:c r="O19" s="13" t="n">
        <x:v>76.8512</x:v>
      </x:c>
      <x:c r="P19" s="16" t="n">
        <x:v>3102.8</x:v>
      </x:c>
      <x:c r="Q19" s="16" t="n">
        <x:f>VLOOKUP(J19,Assumptions!$A$2:$H$5,2,FALSE)</x:f>
        <x:v>1.05</x:v>
      </x:c>
      <x:c r="R19" s="16" t="n">
        <x:f>ROUND(P19*Q19,0)</x:f>
        <x:v>3258</x:v>
      </x:c>
      <x:c r="S19" s="17" t="n">
        <x:f>VLOOKUP(J19,Assumptions!$A$2:$H$5,3,FALSE)</x:f>
        <x:v>18000</x:v>
      </x:c>
      <x:c r="T19" s="17" t="n">
        <x:f>VLOOKUP(J19,Assumptions!$A$2:$H$5,4,FALSE)</x:f>
        <x:v>1</x:v>
      </x:c>
      <x:c r="U19" s="17" t="n">
        <x:f>VLOOKUP(J19,Assumptions!$A$2:$H$5,5,FALSE)</x:f>
        <x:v>1</x:v>
      </x:c>
      <x:c r="V19" s="17" t="n">
        <x:f>VLOOKUP(J19,Assumptions!$A$2:$H$5,6,FALSE)</x:f>
        <x:v>2</x:v>
      </x:c>
      <x:c r="W19" s="17" t="n">
        <x:f>VLOOKUP(J19,Assumptions!$A$2:$H$5,7,FALSE)</x:f>
        <x:v>1</x:v>
      </x:c>
      <x:c r="X19" s="17" t="n">
        <x:f>R19/S19</x:f>
        <x:v>0.181</x:v>
      </x:c>
      <x:c r="Y19" s="17" t="n">
        <x:f>ROUNDUP(SUM(T19:X19),0)</x:f>
        <x:v>6</x:v>
      </x:c>
      <x:c r="Z19" s="17" t="n">
        <x:f>VLOOKUP(J19,Assumptions!$A$2:$H$5,8,FALSE)</x:f>
        <x:v>1.3</x:v>
      </x:c>
      <x:c r="AA19" s="17" t="n">
        <x:f>ROUNDUP(Y19*Z19,0)</x:f>
        <x:v>8</x:v>
      </x:c>
      <x:c r="AB19" s="17" t="n">
        <x:f>AA19</x:f>
        <x:v>8</x:v>
      </x:c>
      <x:c r="AC19" s="13" t="str">
        <x:v>SYNTHETIC_CALCULATED</x:v>
      </x:c>
      <x:c r="AD19" s="13" t="str">
        <x:v>GEODESIC_MODE_FACTOR_V1</x:v>
      </x:c>
      <x:c r="AE19" s="13" t="str">
        <x:v>LOW</x:v>
      </x:c>
      <x:c r="AF19" s="13" t="str">
        <x:v>DRAFT</x:v>
      </x:c>
      <x:c r="AG19" s="13" t="str">
        <x:v>https://www.oag.com/airline-schedules-data</x:v>
      </x:c>
      <x:c r="AH19" s="13" t="str">
        <x:v>2026-09-02</x:v>
      </x:c>
    </x:row>
    <x:row r="20">
      <x:c r="A20" s="13" t="str">
        <x:v>V120-V122-ROAD</x:v>
      </x:c>
      <x:c r="B20" s="13" t="str">
        <x:v>NET-C120</x:v>
      </x:c>
      <x:c r="C20" s="13" t="str">
        <x:v>SYNTH-20260902-V1</x:v>
      </x:c>
      <x:c r="D20" s="13" t="str">
        <x:v>DSE</x:v>
      </x:c>
      <x:c r="E20" s="13" t="str">
        <x:v>C120</x:v>
      </x:c>
      <x:c r="F20" s="13" t="str">
        <x:v>V120</x:v>
      </x:c>
      <x:c r="G20" s="13" t="str">
        <x:v>V122</x:v>
      </x:c>
      <x:c r="H20" s="13" t="str">
        <x:v>러시아</x:v>
      </x:c>
      <x:c r="I20" s="13" t="str">
        <x:v>우즈베키스탄</x:v>
      </x:c>
      <x:c r="J20" s="13" t="str">
        <x:v>ROAD</x:v>
      </x:c>
      <x:c r="K20" s="13" t="n">
        <x:v>1</x:v>
      </x:c>
      <x:c r="L20" s="13" t="n">
        <x:v>55.7558</x:v>
      </x:c>
      <x:c r="M20" s="13" t="n">
        <x:v>37.6173</x:v>
      </x:c>
      <x:c r="N20" s="13" t="n">
        <x:v>41.2995</x:v>
      </x:c>
      <x:c r="O20" s="13" t="n">
        <x:v>69.2401</x:v>
      </x:c>
      <x:c r="P20" s="16" t="n">
        <x:v>2791</x:v>
      </x:c>
      <x:c r="Q20" s="16" t="n">
        <x:f>VLOOKUP(J20,Assumptions!$A$2:$H$5,2,FALSE)</x:f>
        <x:v>1.2</x:v>
      </x:c>
      <x:c r="R20" s="16" t="n">
        <x:f>ROUND(P20*Q20,0)</x:f>
        <x:v>3349</x:v>
      </x:c>
      <x:c r="S20" s="17" t="n">
        <x:f>VLOOKUP(J20,Assumptions!$A$2:$H$5,3,FALSE)</x:f>
        <x:v>600</x:v>
      </x:c>
      <x:c r="T20" s="17" t="n">
        <x:f>VLOOKUP(J20,Assumptions!$A$2:$H$5,4,FALSE)</x:f>
        <x:v>0.5</x:v>
      </x:c>
      <x:c r="U20" s="17" t="n">
        <x:f>VLOOKUP(J20,Assumptions!$A$2:$H$5,5,FALSE)</x:f>
        <x:v>0.5</x:v>
      </x:c>
      <x:c r="V20" s="17" t="n">
        <x:f>VLOOKUP(J20,Assumptions!$A$2:$H$5,6,FALSE)</x:f>
        <x:v>1</x:v>
      </x:c>
      <x:c r="W20" s="17" t="n">
        <x:f>VLOOKUP(J20,Assumptions!$A$2:$H$5,7,FALSE)</x:f>
        <x:v>0.5</x:v>
      </x:c>
      <x:c r="X20" s="17" t="n">
        <x:f>R20/S20</x:f>
        <x:v>5.581666666666667</x:v>
      </x:c>
      <x:c r="Y20" s="17" t="n">
        <x:f>ROUNDUP(SUM(T20:X20),0)</x:f>
        <x:v>9</x:v>
      </x:c>
      <x:c r="Z20" s="17" t="n">
        <x:f>VLOOKUP(J20,Assumptions!$A$2:$H$5,8,FALSE)</x:f>
        <x:v>1.4</x:v>
      </x:c>
      <x:c r="AA20" s="17" t="n">
        <x:f>ROUNDUP(Y20*Z20,0)</x:f>
        <x:v>13</x:v>
      </x:c>
      <x:c r="AB20" s="17" t="n">
        <x:f>AA20</x:f>
        <x:v>13</x:v>
      </x:c>
      <x:c r="AC20" s="13" t="str">
        <x:v>SYNTHETIC_CALCULATED</x:v>
      </x:c>
      <x:c r="AD20" s="13" t="str">
        <x:v>GEODESIC_MODE_FACTOR_V1</x:v>
      </x:c>
      <x:c r="AE20" s="13" t="str">
        <x:v>LOW</x:v>
      </x:c>
      <x:c r="AF20" s="13" t="str">
        <x:v>DRAFT</x:v>
      </x:c>
      <x:c r="AG20" s="13" t="str">
        <x:v>https://developers.google.com/maps/documentation/routes/compute_route_matrix</x:v>
      </x:c>
      <x:c r="AH20" s="13" t="str">
        <x:v>2026-09-02</x:v>
      </x:c>
    </x:row>
    <x:row r="21">
      <x:c r="A21" s="13" t="str">
        <x:v>V120-V122-AIR</x:v>
      </x:c>
      <x:c r="B21" s="13" t="str">
        <x:v>NET-C120</x:v>
      </x:c>
      <x:c r="C21" s="13" t="str">
        <x:v>SYNTH-20260902-V1</x:v>
      </x:c>
      <x:c r="D21" s="13" t="str">
        <x:v>DSE</x:v>
      </x:c>
      <x:c r="E21" s="13" t="str">
        <x:v>C120</x:v>
      </x:c>
      <x:c r="F21" s="13" t="str">
        <x:v>V120</x:v>
      </x:c>
      <x:c r="G21" s="13" t="str">
        <x:v>V122</x:v>
      </x:c>
      <x:c r="H21" s="13" t="str">
        <x:v>러시아</x:v>
      </x:c>
      <x:c r="I21" s="13" t="str">
        <x:v>우즈베키스탄</x:v>
      </x:c>
      <x:c r="J21" s="13" t="str">
        <x:v>AIR</x:v>
      </x:c>
      <x:c r="K21" s="13" t="n">
        <x:v>2</x:v>
      </x:c>
      <x:c r="L21" s="13" t="n">
        <x:v>55.7558</x:v>
      </x:c>
      <x:c r="M21" s="13" t="n">
        <x:v>37.6173</x:v>
      </x:c>
      <x:c r="N21" s="13" t="n">
        <x:v>41.2995</x:v>
      </x:c>
      <x:c r="O21" s="13" t="n">
        <x:v>69.2401</x:v>
      </x:c>
      <x:c r="P21" s="16" t="n">
        <x:v>2791</x:v>
      </x:c>
      <x:c r="Q21" s="16" t="n">
        <x:f>VLOOKUP(J21,Assumptions!$A$2:$H$5,2,FALSE)</x:f>
        <x:v>1.05</x:v>
      </x:c>
      <x:c r="R21" s="16" t="n">
        <x:f>ROUND(P21*Q21,0)</x:f>
        <x:v>2931</x:v>
      </x:c>
      <x:c r="S21" s="17" t="n">
        <x:f>VLOOKUP(J21,Assumptions!$A$2:$H$5,3,FALSE)</x:f>
        <x:v>18000</x:v>
      </x:c>
      <x:c r="T21" s="17" t="n">
        <x:f>VLOOKUP(J21,Assumptions!$A$2:$H$5,4,FALSE)</x:f>
        <x:v>1</x:v>
      </x:c>
      <x:c r="U21" s="17" t="n">
        <x:f>VLOOKUP(J21,Assumptions!$A$2:$H$5,5,FALSE)</x:f>
        <x:v>1</x:v>
      </x:c>
      <x:c r="V21" s="17" t="n">
        <x:f>VLOOKUP(J21,Assumptions!$A$2:$H$5,6,FALSE)</x:f>
        <x:v>2</x:v>
      </x:c>
      <x:c r="W21" s="17" t="n">
        <x:f>VLOOKUP(J21,Assumptions!$A$2:$H$5,7,FALSE)</x:f>
        <x:v>1</x:v>
      </x:c>
      <x:c r="X21" s="17" t="n">
        <x:f>R21/S21</x:f>
        <x:v>0.16283333333333333</x:v>
      </x:c>
      <x:c r="Y21" s="17" t="n">
        <x:f>ROUNDUP(SUM(T21:X21),0)</x:f>
        <x:v>6</x:v>
      </x:c>
      <x:c r="Z21" s="17" t="n">
        <x:f>VLOOKUP(J21,Assumptions!$A$2:$H$5,8,FALSE)</x:f>
        <x:v>1.3</x:v>
      </x:c>
      <x:c r="AA21" s="17" t="n">
        <x:f>ROUNDUP(Y21*Z21,0)</x:f>
        <x:v>8</x:v>
      </x:c>
      <x:c r="AB21" s="17" t="n">
        <x:f>AA21</x:f>
        <x:v>8</x:v>
      </x:c>
      <x:c r="AC21" s="13" t="str">
        <x:v>SYNTHETIC_CALCULATED</x:v>
      </x:c>
      <x:c r="AD21" s="13" t="str">
        <x:v>GEODESIC_MODE_FACTOR_V1</x:v>
      </x:c>
      <x:c r="AE21" s="13" t="str">
        <x:v>LOW</x:v>
      </x:c>
      <x:c r="AF21" s="13" t="str">
        <x:v>DRAFT</x:v>
      </x:c>
      <x:c r="AG21" s="13" t="str">
        <x:v>https://www.oag.com/airline-schedules-data</x:v>
      </x:c>
      <x:c r="AH21" s="13" t="str">
        <x:v>2026-09-02</x:v>
      </x:c>
    </x:row>
    <x:row r="22">
      <x:c r="A22" s="13" t="str">
        <x:v>V120-V123-ROAD</x:v>
      </x:c>
      <x:c r="B22" s="13" t="str">
        <x:v>NET-C120</x:v>
      </x:c>
      <x:c r="C22" s="13" t="str">
        <x:v>SYNTH-20260902-V1</x:v>
      </x:c>
      <x:c r="D22" s="13" t="str">
        <x:v>DSE</x:v>
      </x:c>
      <x:c r="E22" s="13" t="str">
        <x:v>C120</x:v>
      </x:c>
      <x:c r="F22" s="13" t="str">
        <x:v>V120</x:v>
      </x:c>
      <x:c r="G22" s="13" t="str">
        <x:v>V123</x:v>
      </x:c>
      <x:c r="H22" s="13" t="str">
        <x:v>러시아</x:v>
      </x:c>
      <x:c r="I22" s="13" t="str">
        <x:v>몽골</x:v>
      </x:c>
      <x:c r="J22" s="13" t="str">
        <x:v>ROAD</x:v>
      </x:c>
      <x:c r="K22" s="13" t="n">
        <x:v>1</x:v>
      </x:c>
      <x:c r="L22" s="13" t="n">
        <x:v>55.7558</x:v>
      </x:c>
      <x:c r="M22" s="13" t="n">
        <x:v>37.6173</x:v>
      </x:c>
      <x:c r="N22" s="13" t="n">
        <x:v>47.8864</x:v>
      </x:c>
      <x:c r="O22" s="13" t="n">
        <x:v>106.9057</x:v>
      </x:c>
      <x:c r="P22" s="16" t="n">
        <x:v>4636.4</x:v>
      </x:c>
      <x:c r="Q22" s="16" t="n">
        <x:f>VLOOKUP(J22,Assumptions!$A$2:$H$5,2,FALSE)</x:f>
        <x:v>1.2</x:v>
      </x:c>
      <x:c r="R22" s="16" t="n">
        <x:f>ROUND(P22*Q22,0)</x:f>
        <x:v>5564</x:v>
      </x:c>
      <x:c r="S22" s="17" t="n">
        <x:f>VLOOKUP(J22,Assumptions!$A$2:$H$5,3,FALSE)</x:f>
        <x:v>600</x:v>
      </x:c>
      <x:c r="T22" s="17" t="n">
        <x:f>VLOOKUP(J22,Assumptions!$A$2:$H$5,4,FALSE)</x:f>
        <x:v>0.5</x:v>
      </x:c>
      <x:c r="U22" s="17" t="n">
        <x:f>VLOOKUP(J22,Assumptions!$A$2:$H$5,5,FALSE)</x:f>
        <x:v>0.5</x:v>
      </x:c>
      <x:c r="V22" s="17" t="n">
        <x:f>VLOOKUP(J22,Assumptions!$A$2:$H$5,6,FALSE)</x:f>
        <x:v>1</x:v>
      </x:c>
      <x:c r="W22" s="17" t="n">
        <x:f>VLOOKUP(J22,Assumptions!$A$2:$H$5,7,FALSE)</x:f>
        <x:v>0.5</x:v>
      </x:c>
      <x:c r="X22" s="17" t="n">
        <x:f>R22/S22</x:f>
        <x:v>9.273333333333333</x:v>
      </x:c>
      <x:c r="Y22" s="17" t="n">
        <x:f>ROUNDUP(SUM(T22:X22),0)</x:f>
        <x:v>12</x:v>
      </x:c>
      <x:c r="Z22" s="17" t="n">
        <x:f>VLOOKUP(J22,Assumptions!$A$2:$H$5,8,FALSE)</x:f>
        <x:v>1.4</x:v>
      </x:c>
      <x:c r="AA22" s="17" t="n">
        <x:f>ROUNDUP(Y22*Z22,0)</x:f>
        <x:v>17</x:v>
      </x:c>
      <x:c r="AB22" s="17" t="n">
        <x:f>AA22</x:f>
        <x:v>17</x:v>
      </x:c>
      <x:c r="AC22" s="13" t="str">
        <x:v>SYNTHETIC_CALCULATED</x:v>
      </x:c>
      <x:c r="AD22" s="13" t="str">
        <x:v>GEODESIC_MODE_FACTOR_V1</x:v>
      </x:c>
      <x:c r="AE22" s="13" t="str">
        <x:v>LOW</x:v>
      </x:c>
      <x:c r="AF22" s="13" t="str">
        <x:v>DRAFT</x:v>
      </x:c>
      <x:c r="AG22" s="13" t="str">
        <x:v>https://developers.google.com/maps/documentation/routes/compute_route_matrix</x:v>
      </x:c>
      <x:c r="AH22" s="13" t="str">
        <x:v>2026-09-02</x:v>
      </x:c>
    </x:row>
    <x:row r="23">
      <x:c r="A23" s="13" t="str">
        <x:v>V120-V123-AIR</x:v>
      </x:c>
      <x:c r="B23" s="13" t="str">
        <x:v>NET-C120</x:v>
      </x:c>
      <x:c r="C23" s="13" t="str">
        <x:v>SYNTH-20260902-V1</x:v>
      </x:c>
      <x:c r="D23" s="13" t="str">
        <x:v>DSE</x:v>
      </x:c>
      <x:c r="E23" s="13" t="str">
        <x:v>C120</x:v>
      </x:c>
      <x:c r="F23" s="13" t="str">
        <x:v>V120</x:v>
      </x:c>
      <x:c r="G23" s="13" t="str">
        <x:v>V123</x:v>
      </x:c>
      <x:c r="H23" s="13" t="str">
        <x:v>러시아</x:v>
      </x:c>
      <x:c r="I23" s="13" t="str">
        <x:v>몽골</x:v>
      </x:c>
      <x:c r="J23" s="13" t="str">
        <x:v>AIR</x:v>
      </x:c>
      <x:c r="K23" s="13" t="n">
        <x:v>2</x:v>
      </x:c>
      <x:c r="L23" s="13" t="n">
        <x:v>55.7558</x:v>
      </x:c>
      <x:c r="M23" s="13" t="n">
        <x:v>37.6173</x:v>
      </x:c>
      <x:c r="N23" s="13" t="n">
        <x:v>47.8864</x:v>
      </x:c>
      <x:c r="O23" s="13" t="n">
        <x:v>106.9057</x:v>
      </x:c>
      <x:c r="P23" s="16" t="n">
        <x:v>4636.4</x:v>
      </x:c>
      <x:c r="Q23" s="16" t="n">
        <x:f>VLOOKUP(J23,Assumptions!$A$2:$H$5,2,FALSE)</x:f>
        <x:v>1.05</x:v>
      </x:c>
      <x:c r="R23" s="16" t="n">
        <x:f>ROUND(P23*Q23,0)</x:f>
        <x:v>4868</x:v>
      </x:c>
      <x:c r="S23" s="17" t="n">
        <x:f>VLOOKUP(J23,Assumptions!$A$2:$H$5,3,FALSE)</x:f>
        <x:v>18000</x:v>
      </x:c>
      <x:c r="T23" s="17" t="n">
        <x:f>VLOOKUP(J23,Assumptions!$A$2:$H$5,4,FALSE)</x:f>
        <x:v>1</x:v>
      </x:c>
      <x:c r="U23" s="17" t="n">
        <x:f>VLOOKUP(J23,Assumptions!$A$2:$H$5,5,FALSE)</x:f>
        <x:v>1</x:v>
      </x:c>
      <x:c r="V23" s="17" t="n">
        <x:f>VLOOKUP(J23,Assumptions!$A$2:$H$5,6,FALSE)</x:f>
        <x:v>2</x:v>
      </x:c>
      <x:c r="W23" s="17" t="n">
        <x:f>VLOOKUP(J23,Assumptions!$A$2:$H$5,7,FALSE)</x:f>
        <x:v>1</x:v>
      </x:c>
      <x:c r="X23" s="17" t="n">
        <x:f>R23/S23</x:f>
        <x:v>0.27044444444444443</x:v>
      </x:c>
      <x:c r="Y23" s="17" t="n">
        <x:f>ROUNDUP(SUM(T23:X23),0)</x:f>
        <x:v>6</x:v>
      </x:c>
      <x:c r="Z23" s="17" t="n">
        <x:f>VLOOKUP(J23,Assumptions!$A$2:$H$5,8,FALSE)</x:f>
        <x:v>1.3</x:v>
      </x:c>
      <x:c r="AA23" s="17" t="n">
        <x:f>ROUNDUP(Y23*Z23,0)</x:f>
        <x:v>8</x:v>
      </x:c>
      <x:c r="AB23" s="17" t="n">
        <x:f>AA23</x:f>
        <x:v>8</x:v>
      </x:c>
      <x:c r="AC23" s="13" t="str">
        <x:v>SYNTHETIC_CALCULATED</x:v>
      </x:c>
      <x:c r="AD23" s="13" t="str">
        <x:v>GEODESIC_MODE_FACTOR_V1</x:v>
      </x:c>
      <x:c r="AE23" s="13" t="str">
        <x:v>LOW</x:v>
      </x:c>
      <x:c r="AF23" s="13" t="str">
        <x:v>DRAFT</x:v>
      </x:c>
      <x:c r="AG23" s="13" t="str">
        <x:v>https://www.oag.com/airline-schedules-data</x:v>
      </x:c>
      <x:c r="AH23" s="13" t="str">
        <x:v>2026-09-02</x:v>
      </x:c>
    </x:row>
    <x:row r="24">
      <x:c r="A24" s="13" t="str">
        <x:v>V120-V124-ROAD</x:v>
      </x:c>
      <x:c r="B24" s="13" t="str">
        <x:v>NET-C120</x:v>
      </x:c>
      <x:c r="C24" s="13" t="str">
        <x:v>SYNTH-20260902-V1</x:v>
      </x:c>
      <x:c r="D24" s="13" t="str">
        <x:v>DSE</x:v>
      </x:c>
      <x:c r="E24" s="13" t="str">
        <x:v>C120</x:v>
      </x:c>
      <x:c r="F24" s="13" t="str">
        <x:v>V120</x:v>
      </x:c>
      <x:c r="G24" s="13" t="str">
        <x:v>V124</x:v>
      </x:c>
      <x:c r="H24" s="13" t="str">
        <x:v>러시아</x:v>
      </x:c>
      <x:c r="I24" s="13" t="str">
        <x:v>벨라루스</x:v>
      </x:c>
      <x:c r="J24" s="13" t="str">
        <x:v>ROAD</x:v>
      </x:c>
      <x:c r="K24" s="13" t="n">
        <x:v>1</x:v>
      </x:c>
      <x:c r="L24" s="13" t="n">
        <x:v>55.7558</x:v>
      </x:c>
      <x:c r="M24" s="13" t="n">
        <x:v>37.6173</x:v>
      </x:c>
      <x:c r="N24" s="13" t="n">
        <x:v>53.9006</x:v>
      </x:c>
      <x:c r="O24" s="13" t="n">
        <x:v>27.559</x:v>
      </x:c>
      <x:c r="P24" s="16" t="n">
        <x:v>675.8</x:v>
      </x:c>
      <x:c r="Q24" s="16" t="n">
        <x:f>VLOOKUP(J24,Assumptions!$A$2:$H$5,2,FALSE)</x:f>
        <x:v>1.2</x:v>
      </x:c>
      <x:c r="R24" s="16" t="n">
        <x:f>ROUND(P24*Q24,0)</x:f>
        <x:v>811</x:v>
      </x:c>
      <x:c r="S24" s="17" t="n">
        <x:f>VLOOKUP(J24,Assumptions!$A$2:$H$5,3,FALSE)</x:f>
        <x:v>600</x:v>
      </x:c>
      <x:c r="T24" s="17" t="n">
        <x:f>VLOOKUP(J24,Assumptions!$A$2:$H$5,4,FALSE)</x:f>
        <x:v>0.5</x:v>
      </x:c>
      <x:c r="U24" s="17" t="n">
        <x:f>VLOOKUP(J24,Assumptions!$A$2:$H$5,5,FALSE)</x:f>
        <x:v>0.5</x:v>
      </x:c>
      <x:c r="V24" s="17" t="n">
        <x:f>VLOOKUP(J24,Assumptions!$A$2:$H$5,6,FALSE)</x:f>
        <x:v>1</x:v>
      </x:c>
      <x:c r="W24" s="17" t="n">
        <x:f>VLOOKUP(J24,Assumptions!$A$2:$H$5,7,FALSE)</x:f>
        <x:v>0.5</x:v>
      </x:c>
      <x:c r="X24" s="17" t="n">
        <x:f>R24/S24</x:f>
        <x:v>1.3516666666666666</x:v>
      </x:c>
      <x:c r="Y24" s="17" t="n">
        <x:f>ROUNDUP(SUM(T24:X24),0)</x:f>
        <x:v>4</x:v>
      </x:c>
      <x:c r="Z24" s="17" t="n">
        <x:f>VLOOKUP(J24,Assumptions!$A$2:$H$5,8,FALSE)</x:f>
        <x:v>1.4</x:v>
      </x:c>
      <x:c r="AA24" s="17" t="n">
        <x:f>ROUNDUP(Y24*Z24,0)</x:f>
        <x:v>6</x:v>
      </x:c>
      <x:c r="AB24" s="17" t="n">
        <x:f>AA24</x:f>
        <x:v>6</x:v>
      </x:c>
      <x:c r="AC24" s="13" t="str">
        <x:v>SYNTHETIC_CALCULATED</x:v>
      </x:c>
      <x:c r="AD24" s="13" t="str">
        <x:v>GEODESIC_MODE_FACTOR_V1</x:v>
      </x:c>
      <x:c r="AE24" s="13" t="str">
        <x:v>LOW</x:v>
      </x:c>
      <x:c r="AF24" s="13" t="str">
        <x:v>DRAFT</x:v>
      </x:c>
      <x:c r="AG24" s="13" t="str">
        <x:v>https://developers.google.com/maps/documentation/routes/compute_route_matrix</x:v>
      </x:c>
      <x:c r="AH24" s="13" t="str">
        <x:v>2026-09-02</x:v>
      </x:c>
    </x:row>
    <x:row r="25">
      <x:c r="A25" s="13" t="str">
        <x:v>V120-V124-AIR</x:v>
      </x:c>
      <x:c r="B25" s="13" t="str">
        <x:v>NET-C120</x:v>
      </x:c>
      <x:c r="C25" s="13" t="str">
        <x:v>SYNTH-20260902-V1</x:v>
      </x:c>
      <x:c r="D25" s="13" t="str">
        <x:v>DSE</x:v>
      </x:c>
      <x:c r="E25" s="13" t="str">
        <x:v>C120</x:v>
      </x:c>
      <x:c r="F25" s="13" t="str">
        <x:v>V120</x:v>
      </x:c>
      <x:c r="G25" s="13" t="str">
        <x:v>V124</x:v>
      </x:c>
      <x:c r="H25" s="13" t="str">
        <x:v>러시아</x:v>
      </x:c>
      <x:c r="I25" s="13" t="str">
        <x:v>벨라루스</x:v>
      </x:c>
      <x:c r="J25" s="13" t="str">
        <x:v>AIR</x:v>
      </x:c>
      <x:c r="K25" s="13" t="n">
        <x:v>2</x:v>
      </x:c>
      <x:c r="L25" s="13" t="n">
        <x:v>55.7558</x:v>
      </x:c>
      <x:c r="M25" s="13" t="n">
        <x:v>37.6173</x:v>
      </x:c>
      <x:c r="N25" s="13" t="n">
        <x:v>53.9006</x:v>
      </x:c>
      <x:c r="O25" s="13" t="n">
        <x:v>27.559</x:v>
      </x:c>
      <x:c r="P25" s="16" t="n">
        <x:v>675.8</x:v>
      </x:c>
      <x:c r="Q25" s="16" t="n">
        <x:f>VLOOKUP(J25,Assumptions!$A$2:$H$5,2,FALSE)</x:f>
        <x:v>1.05</x:v>
      </x:c>
      <x:c r="R25" s="16" t="n">
        <x:f>ROUND(P25*Q25,0)</x:f>
        <x:v>710</x:v>
      </x:c>
      <x:c r="S25" s="17" t="n">
        <x:f>VLOOKUP(J25,Assumptions!$A$2:$H$5,3,FALSE)</x:f>
        <x:v>18000</x:v>
      </x:c>
      <x:c r="T25" s="17" t="n">
        <x:f>VLOOKUP(J25,Assumptions!$A$2:$H$5,4,FALSE)</x:f>
        <x:v>1</x:v>
      </x:c>
      <x:c r="U25" s="17" t="n">
        <x:f>VLOOKUP(J25,Assumptions!$A$2:$H$5,5,FALSE)</x:f>
        <x:v>1</x:v>
      </x:c>
      <x:c r="V25" s="17" t="n">
        <x:f>VLOOKUP(J25,Assumptions!$A$2:$H$5,6,FALSE)</x:f>
        <x:v>2</x:v>
      </x:c>
      <x:c r="W25" s="17" t="n">
        <x:f>VLOOKUP(J25,Assumptions!$A$2:$H$5,7,FALSE)</x:f>
        <x:v>1</x:v>
      </x:c>
      <x:c r="X25" s="17" t="n">
        <x:f>R25/S25</x:f>
        <x:v>0.03944444444444444</x:v>
      </x:c>
      <x:c r="Y25" s="17" t="n">
        <x:f>ROUNDUP(SUM(T25:X25),0)</x:f>
        <x:v>6</x:v>
      </x:c>
      <x:c r="Z25" s="17" t="n">
        <x:f>VLOOKUP(J25,Assumptions!$A$2:$H$5,8,FALSE)</x:f>
        <x:v>1.3</x:v>
      </x:c>
      <x:c r="AA25" s="17" t="n">
        <x:f>ROUNDUP(Y25*Z25,0)</x:f>
        <x:v>8</x:v>
      </x:c>
      <x:c r="AB25" s="17" t="n">
        <x:f>AA25</x:f>
        <x:v>8</x:v>
      </x:c>
      <x:c r="AC25" s="13" t="str">
        <x:v>SYNTHETIC_CALCULATED</x:v>
      </x:c>
      <x:c r="AD25" s="13" t="str">
        <x:v>GEODESIC_MODE_FACTOR_V1</x:v>
      </x:c>
      <x:c r="AE25" s="13" t="str">
        <x:v>LOW</x:v>
      </x:c>
      <x:c r="AF25" s="13" t="str">
        <x:v>DRAFT</x:v>
      </x:c>
      <x:c r="AG25" s="13" t="str">
        <x:v>https://www.oag.com/airline-schedules-data</x:v>
      </x:c>
      <x:c r="AH25" s="13" t="str">
        <x:v>2026-09-02</x:v>
      </x:c>
    </x:row>
    <x:row r="26">
      <x:c r="A26" s="13" t="str">
        <x:v>V130-V131-ROAD</x:v>
      </x:c>
      <x:c r="B26" s="13" t="str">
        <x:v>NET-C130</x:v>
      </x:c>
      <x:c r="C26" s="13" t="str">
        <x:v>SYNTH-20260902-V1</x:v>
      </x:c>
      <x:c r="D26" s="13" t="str">
        <x:v>DSE</x:v>
      </x:c>
      <x:c r="E26" s="13" t="str">
        <x:v>C130</x:v>
      </x:c>
      <x:c r="F26" s="13" t="str">
        <x:v>V130</x:v>
      </x:c>
      <x:c r="G26" s="13" t="str">
        <x:v>V131</x:v>
      </x:c>
      <x:c r="H26" s="13" t="str">
        <x:v>폴란드</x:v>
      </x:c>
      <x:c r="I26" s="13" t="str">
        <x:v>체코</x:v>
      </x:c>
      <x:c r="J26" s="13" t="str">
        <x:v>ROAD</x:v>
      </x:c>
      <x:c r="K26" s="13" t="n">
        <x:v>1</x:v>
      </x:c>
      <x:c r="L26" s="13" t="n">
        <x:v>52.2297</x:v>
      </x:c>
      <x:c r="M26" s="13" t="n">
        <x:v>21.0122</x:v>
      </x:c>
      <x:c r="N26" s="13" t="n">
        <x:v>50.0755</x:v>
      </x:c>
      <x:c r="O26" s="13" t="n">
        <x:v>14.4378</x:v>
      </x:c>
      <x:c r="P26" s="16" t="n">
        <x:v>517.1</x:v>
      </x:c>
      <x:c r="Q26" s="16" t="n">
        <x:f>VLOOKUP(J26,Assumptions!$A$2:$H$5,2,FALSE)</x:f>
        <x:v>1.2</x:v>
      </x:c>
      <x:c r="R26" s="16" t="n">
        <x:f>ROUND(P26*Q26,0)</x:f>
        <x:v>621</x:v>
      </x:c>
      <x:c r="S26" s="17" t="n">
        <x:f>VLOOKUP(J26,Assumptions!$A$2:$H$5,3,FALSE)</x:f>
        <x:v>600</x:v>
      </x:c>
      <x:c r="T26" s="17" t="n">
        <x:f>VLOOKUP(J26,Assumptions!$A$2:$H$5,4,FALSE)</x:f>
        <x:v>0.5</x:v>
      </x:c>
      <x:c r="U26" s="17" t="n">
        <x:f>VLOOKUP(J26,Assumptions!$A$2:$H$5,5,FALSE)</x:f>
        <x:v>0.5</x:v>
      </x:c>
      <x:c r="V26" s="17" t="n">
        <x:f>VLOOKUP(J26,Assumptions!$A$2:$H$5,6,FALSE)</x:f>
        <x:v>1</x:v>
      </x:c>
      <x:c r="W26" s="17" t="n">
        <x:f>VLOOKUP(J26,Assumptions!$A$2:$H$5,7,FALSE)</x:f>
        <x:v>0.5</x:v>
      </x:c>
      <x:c r="X26" s="17" t="n">
        <x:f>R26/S26</x:f>
        <x:v>1.035</x:v>
      </x:c>
      <x:c r="Y26" s="17" t="n">
        <x:f>ROUNDUP(SUM(T26:X26),0)</x:f>
        <x:v>4</x:v>
      </x:c>
      <x:c r="Z26" s="17" t="n">
        <x:f>VLOOKUP(J26,Assumptions!$A$2:$H$5,8,FALSE)</x:f>
        <x:v>1.4</x:v>
      </x:c>
      <x:c r="AA26" s="17" t="n">
        <x:f>ROUNDUP(Y26*Z26,0)</x:f>
        <x:v>6</x:v>
      </x:c>
      <x:c r="AB26" s="17" t="n">
        <x:f>AA26</x:f>
        <x:v>6</x:v>
      </x:c>
      <x:c r="AC26" s="13" t="str">
        <x:v>SYNTHETIC_CALCULATED</x:v>
      </x:c>
      <x:c r="AD26" s="13" t="str">
        <x:v>GEODESIC_MODE_FACTOR_V1</x:v>
      </x:c>
      <x:c r="AE26" s="13" t="str">
        <x:v>LOW</x:v>
      </x:c>
      <x:c r="AF26" s="13" t="str">
        <x:v>DRAFT</x:v>
      </x:c>
      <x:c r="AG26" s="13" t="str">
        <x:v>https://developers.google.com/maps/documentation/routes/compute_route_matrix</x:v>
      </x:c>
      <x:c r="AH26" s="13" t="str">
        <x:v>2026-09-02</x:v>
      </x:c>
    </x:row>
    <x:row r="27">
      <x:c r="A27" s="13" t="str">
        <x:v>V130-V131-AIR</x:v>
      </x:c>
      <x:c r="B27" s="13" t="str">
        <x:v>NET-C130</x:v>
      </x:c>
      <x:c r="C27" s="13" t="str">
        <x:v>SYNTH-20260902-V1</x:v>
      </x:c>
      <x:c r="D27" s="13" t="str">
        <x:v>DSE</x:v>
      </x:c>
      <x:c r="E27" s="13" t="str">
        <x:v>C130</x:v>
      </x:c>
      <x:c r="F27" s="13" t="str">
        <x:v>V130</x:v>
      </x:c>
      <x:c r="G27" s="13" t="str">
        <x:v>V131</x:v>
      </x:c>
      <x:c r="H27" s="13" t="str">
        <x:v>폴란드</x:v>
      </x:c>
      <x:c r="I27" s="13" t="str">
        <x:v>체코</x:v>
      </x:c>
      <x:c r="J27" s="13" t="str">
        <x:v>AIR</x:v>
      </x:c>
      <x:c r="K27" s="13" t="n">
        <x:v>2</x:v>
      </x:c>
      <x:c r="L27" s="13" t="n">
        <x:v>52.2297</x:v>
      </x:c>
      <x:c r="M27" s="13" t="n">
        <x:v>21.0122</x:v>
      </x:c>
      <x:c r="N27" s="13" t="n">
        <x:v>50.0755</x:v>
      </x:c>
      <x:c r="O27" s="13" t="n">
        <x:v>14.4378</x:v>
      </x:c>
      <x:c r="P27" s="16" t="n">
        <x:v>517.1</x:v>
      </x:c>
      <x:c r="Q27" s="16" t="n">
        <x:f>VLOOKUP(J27,Assumptions!$A$2:$H$5,2,FALSE)</x:f>
        <x:v>1.05</x:v>
      </x:c>
      <x:c r="R27" s="16" t="n">
        <x:f>ROUND(P27*Q27,0)</x:f>
        <x:v>543</x:v>
      </x:c>
      <x:c r="S27" s="17" t="n">
        <x:f>VLOOKUP(J27,Assumptions!$A$2:$H$5,3,FALSE)</x:f>
        <x:v>18000</x:v>
      </x:c>
      <x:c r="T27" s="17" t="n">
        <x:f>VLOOKUP(J27,Assumptions!$A$2:$H$5,4,FALSE)</x:f>
        <x:v>1</x:v>
      </x:c>
      <x:c r="U27" s="17" t="n">
        <x:f>VLOOKUP(J27,Assumptions!$A$2:$H$5,5,FALSE)</x:f>
        <x:v>1</x:v>
      </x:c>
      <x:c r="V27" s="17" t="n">
        <x:f>VLOOKUP(J27,Assumptions!$A$2:$H$5,6,FALSE)</x:f>
        <x:v>2</x:v>
      </x:c>
      <x:c r="W27" s="17" t="n">
        <x:f>VLOOKUP(J27,Assumptions!$A$2:$H$5,7,FALSE)</x:f>
        <x:v>1</x:v>
      </x:c>
      <x:c r="X27" s="17" t="n">
        <x:f>R27/S27</x:f>
        <x:v>0.030166666666666668</x:v>
      </x:c>
      <x:c r="Y27" s="17" t="n">
        <x:f>ROUNDUP(SUM(T27:X27),0)</x:f>
        <x:v>6</x:v>
      </x:c>
      <x:c r="Z27" s="17" t="n">
        <x:f>VLOOKUP(J27,Assumptions!$A$2:$H$5,8,FALSE)</x:f>
        <x:v>1.3</x:v>
      </x:c>
      <x:c r="AA27" s="17" t="n">
        <x:f>ROUNDUP(Y27*Z27,0)</x:f>
        <x:v>8</x:v>
      </x:c>
      <x:c r="AB27" s="17" t="n">
        <x:f>AA27</x:f>
        <x:v>8</x:v>
      </x:c>
      <x:c r="AC27" s="13" t="str">
        <x:v>SYNTHETIC_CALCULATED</x:v>
      </x:c>
      <x:c r="AD27" s="13" t="str">
        <x:v>GEODESIC_MODE_FACTOR_V1</x:v>
      </x:c>
      <x:c r="AE27" s="13" t="str">
        <x:v>LOW</x:v>
      </x:c>
      <x:c r="AF27" s="13" t="str">
        <x:v>DRAFT</x:v>
      </x:c>
      <x:c r="AG27" s="13" t="str">
        <x:v>https://www.oag.com/airline-schedules-data</x:v>
      </x:c>
      <x:c r="AH27" s="13" t="str">
        <x:v>2026-09-02</x:v>
      </x:c>
    </x:row>
    <x:row r="28">
      <x:c r="A28" s="13" t="str">
        <x:v>V130-V132-ROAD</x:v>
      </x:c>
      <x:c r="B28" s="13" t="str">
        <x:v>NET-C130</x:v>
      </x:c>
      <x:c r="C28" s="13" t="str">
        <x:v>SYNTH-20260902-V1</x:v>
      </x:c>
      <x:c r="D28" s="13" t="str">
        <x:v>DSE</x:v>
      </x:c>
      <x:c r="E28" s="13" t="str">
        <x:v>C130</x:v>
      </x:c>
      <x:c r="F28" s="13" t="str">
        <x:v>V130</x:v>
      </x:c>
      <x:c r="G28" s="13" t="str">
        <x:v>V132</x:v>
      </x:c>
      <x:c r="H28" s="13" t="str">
        <x:v>폴란드</x:v>
      </x:c>
      <x:c r="I28" s="13" t="str">
        <x:v>헝가리</x:v>
      </x:c>
      <x:c r="J28" s="13" t="str">
        <x:v>ROAD</x:v>
      </x:c>
      <x:c r="K28" s="13" t="n">
        <x:v>1</x:v>
      </x:c>
      <x:c r="L28" s="13" t="n">
        <x:v>52.2297</x:v>
      </x:c>
      <x:c r="M28" s="13" t="n">
        <x:v>21.0122</x:v>
      </x:c>
      <x:c r="N28" s="13" t="n">
        <x:v>47.4979</x:v>
      </x:c>
      <x:c r="O28" s="13" t="n">
        <x:v>19.0402</x:v>
      </x:c>
      <x:c r="P28" s="16" t="n">
        <x:v>544.8</x:v>
      </x:c>
      <x:c r="Q28" s="16" t="n">
        <x:f>VLOOKUP(J28,Assumptions!$A$2:$H$5,2,FALSE)</x:f>
        <x:v>1.2</x:v>
      </x:c>
      <x:c r="R28" s="16" t="n">
        <x:f>ROUND(P28*Q28,0)</x:f>
        <x:v>654</x:v>
      </x:c>
      <x:c r="S28" s="17" t="n">
        <x:f>VLOOKUP(J28,Assumptions!$A$2:$H$5,3,FALSE)</x:f>
        <x:v>600</x:v>
      </x:c>
      <x:c r="T28" s="17" t="n">
        <x:f>VLOOKUP(J28,Assumptions!$A$2:$H$5,4,FALSE)</x:f>
        <x:v>0.5</x:v>
      </x:c>
      <x:c r="U28" s="17" t="n">
        <x:f>VLOOKUP(J28,Assumptions!$A$2:$H$5,5,FALSE)</x:f>
        <x:v>0.5</x:v>
      </x:c>
      <x:c r="V28" s="17" t="n">
        <x:f>VLOOKUP(J28,Assumptions!$A$2:$H$5,6,FALSE)</x:f>
        <x:v>1</x:v>
      </x:c>
      <x:c r="W28" s="17" t="n">
        <x:f>VLOOKUP(J28,Assumptions!$A$2:$H$5,7,FALSE)</x:f>
        <x:v>0.5</x:v>
      </x:c>
      <x:c r="X28" s="17" t="n">
        <x:f>R28/S28</x:f>
        <x:v>1.09</x:v>
      </x:c>
      <x:c r="Y28" s="17" t="n">
        <x:f>ROUNDUP(SUM(T28:X28),0)</x:f>
        <x:v>4</x:v>
      </x:c>
      <x:c r="Z28" s="17" t="n">
        <x:f>VLOOKUP(J28,Assumptions!$A$2:$H$5,8,FALSE)</x:f>
        <x:v>1.4</x:v>
      </x:c>
      <x:c r="AA28" s="17" t="n">
        <x:f>ROUNDUP(Y28*Z28,0)</x:f>
        <x:v>6</x:v>
      </x:c>
      <x:c r="AB28" s="17" t="n">
        <x:f>AA28</x:f>
        <x:v>6</x:v>
      </x:c>
      <x:c r="AC28" s="13" t="str">
        <x:v>SYNTHETIC_CALCULATED</x:v>
      </x:c>
      <x:c r="AD28" s="13" t="str">
        <x:v>GEODESIC_MODE_FACTOR_V1</x:v>
      </x:c>
      <x:c r="AE28" s="13" t="str">
        <x:v>LOW</x:v>
      </x:c>
      <x:c r="AF28" s="13" t="str">
        <x:v>DRAFT</x:v>
      </x:c>
      <x:c r="AG28" s="13" t="str">
        <x:v>https://developers.google.com/maps/documentation/routes/compute_route_matrix</x:v>
      </x:c>
      <x:c r="AH28" s="13" t="str">
        <x:v>2026-09-02</x:v>
      </x:c>
    </x:row>
    <x:row r="29">
      <x:c r="A29" s="13" t="str">
        <x:v>V130-V132-AIR</x:v>
      </x:c>
      <x:c r="B29" s="13" t="str">
        <x:v>NET-C130</x:v>
      </x:c>
      <x:c r="C29" s="13" t="str">
        <x:v>SYNTH-20260902-V1</x:v>
      </x:c>
      <x:c r="D29" s="13" t="str">
        <x:v>DSE</x:v>
      </x:c>
      <x:c r="E29" s="13" t="str">
        <x:v>C130</x:v>
      </x:c>
      <x:c r="F29" s="13" t="str">
        <x:v>V130</x:v>
      </x:c>
      <x:c r="G29" s="13" t="str">
        <x:v>V132</x:v>
      </x:c>
      <x:c r="H29" s="13" t="str">
        <x:v>폴란드</x:v>
      </x:c>
      <x:c r="I29" s="13" t="str">
        <x:v>헝가리</x:v>
      </x:c>
      <x:c r="J29" s="13" t="str">
        <x:v>AIR</x:v>
      </x:c>
      <x:c r="K29" s="13" t="n">
        <x:v>2</x:v>
      </x:c>
      <x:c r="L29" s="13" t="n">
        <x:v>52.2297</x:v>
      </x:c>
      <x:c r="M29" s="13" t="n">
        <x:v>21.0122</x:v>
      </x:c>
      <x:c r="N29" s="13" t="n">
        <x:v>47.4979</x:v>
      </x:c>
      <x:c r="O29" s="13" t="n">
        <x:v>19.0402</x:v>
      </x:c>
      <x:c r="P29" s="16" t="n">
        <x:v>544.8</x:v>
      </x:c>
      <x:c r="Q29" s="16" t="n">
        <x:f>VLOOKUP(J29,Assumptions!$A$2:$H$5,2,FALSE)</x:f>
        <x:v>1.05</x:v>
      </x:c>
      <x:c r="R29" s="16" t="n">
        <x:f>ROUND(P29*Q29,0)</x:f>
        <x:v>572</x:v>
      </x:c>
      <x:c r="S29" s="17" t="n">
        <x:f>VLOOKUP(J29,Assumptions!$A$2:$H$5,3,FALSE)</x:f>
        <x:v>18000</x:v>
      </x:c>
      <x:c r="T29" s="17" t="n">
        <x:f>VLOOKUP(J29,Assumptions!$A$2:$H$5,4,FALSE)</x:f>
        <x:v>1</x:v>
      </x:c>
      <x:c r="U29" s="17" t="n">
        <x:f>VLOOKUP(J29,Assumptions!$A$2:$H$5,5,FALSE)</x:f>
        <x:v>1</x:v>
      </x:c>
      <x:c r="V29" s="17" t="n">
        <x:f>VLOOKUP(J29,Assumptions!$A$2:$H$5,6,FALSE)</x:f>
        <x:v>2</x:v>
      </x:c>
      <x:c r="W29" s="17" t="n">
        <x:f>VLOOKUP(J29,Assumptions!$A$2:$H$5,7,FALSE)</x:f>
        <x:v>1</x:v>
      </x:c>
      <x:c r="X29" s="17" t="n">
        <x:f>R29/S29</x:f>
        <x:v>0.03177777777777778</x:v>
      </x:c>
      <x:c r="Y29" s="17" t="n">
        <x:f>ROUNDUP(SUM(T29:X29),0)</x:f>
        <x:v>6</x:v>
      </x:c>
      <x:c r="Z29" s="17" t="n">
        <x:f>VLOOKUP(J29,Assumptions!$A$2:$H$5,8,FALSE)</x:f>
        <x:v>1.3</x:v>
      </x:c>
      <x:c r="AA29" s="17" t="n">
        <x:f>ROUNDUP(Y29*Z29,0)</x:f>
        <x:v>8</x:v>
      </x:c>
      <x:c r="AB29" s="17" t="n">
        <x:f>AA29</x:f>
        <x:v>8</x:v>
      </x:c>
      <x:c r="AC29" s="13" t="str">
        <x:v>SYNTHETIC_CALCULATED</x:v>
      </x:c>
      <x:c r="AD29" s="13" t="str">
        <x:v>GEODESIC_MODE_FACTOR_V1</x:v>
      </x:c>
      <x:c r="AE29" s="13" t="str">
        <x:v>LOW</x:v>
      </x:c>
      <x:c r="AF29" s="13" t="str">
        <x:v>DRAFT</x:v>
      </x:c>
      <x:c r="AG29" s="13" t="str">
        <x:v>https://www.oag.com/airline-schedules-data</x:v>
      </x:c>
      <x:c r="AH29" s="13" t="str">
        <x:v>2026-09-02</x:v>
      </x:c>
    </x:row>
    <x:row r="30">
      <x:c r="A30" s="13" t="str">
        <x:v>V130-V133-ROAD</x:v>
      </x:c>
      <x:c r="B30" s="13" t="str">
        <x:v>NET-C130</x:v>
      </x:c>
      <x:c r="C30" s="13" t="str">
        <x:v>SYNTH-20260902-V1</x:v>
      </x:c>
      <x:c r="D30" s="13" t="str">
        <x:v>DSE</x:v>
      </x:c>
      <x:c r="E30" s="13" t="str">
        <x:v>C130</x:v>
      </x:c>
      <x:c r="F30" s="13" t="str">
        <x:v>V130</x:v>
      </x:c>
      <x:c r="G30" s="13" t="str">
        <x:v>V133</x:v>
      </x:c>
      <x:c r="H30" s="13" t="str">
        <x:v>폴란드</x:v>
      </x:c>
      <x:c r="I30" s="13" t="str">
        <x:v>루마니아</x:v>
      </x:c>
      <x:c r="J30" s="13" t="str">
        <x:v>ROAD</x:v>
      </x:c>
      <x:c r="K30" s="13" t="n">
        <x:v>1</x:v>
      </x:c>
      <x:c r="L30" s="13" t="n">
        <x:v>52.2297</x:v>
      </x:c>
      <x:c r="M30" s="13" t="n">
        <x:v>21.0122</x:v>
      </x:c>
      <x:c r="N30" s="13" t="n">
        <x:v>44.4268</x:v>
      </x:c>
      <x:c r="O30" s="13" t="n">
        <x:v>26.1025</x:v>
      </x:c>
      <x:c r="P30" s="16" t="n">
        <x:v>945.2</x:v>
      </x:c>
      <x:c r="Q30" s="16" t="n">
        <x:f>VLOOKUP(J30,Assumptions!$A$2:$H$5,2,FALSE)</x:f>
        <x:v>1.2</x:v>
      </x:c>
      <x:c r="R30" s="16" t="n">
        <x:f>ROUND(P30*Q30,0)</x:f>
        <x:v>1134</x:v>
      </x:c>
      <x:c r="S30" s="17" t="n">
        <x:f>VLOOKUP(J30,Assumptions!$A$2:$H$5,3,FALSE)</x:f>
        <x:v>600</x:v>
      </x:c>
      <x:c r="T30" s="17" t="n">
        <x:f>VLOOKUP(J30,Assumptions!$A$2:$H$5,4,FALSE)</x:f>
        <x:v>0.5</x:v>
      </x:c>
      <x:c r="U30" s="17" t="n">
        <x:f>VLOOKUP(J30,Assumptions!$A$2:$H$5,5,FALSE)</x:f>
        <x:v>0.5</x:v>
      </x:c>
      <x:c r="V30" s="17" t="n">
        <x:f>VLOOKUP(J30,Assumptions!$A$2:$H$5,6,FALSE)</x:f>
        <x:v>1</x:v>
      </x:c>
      <x:c r="W30" s="17" t="n">
        <x:f>VLOOKUP(J30,Assumptions!$A$2:$H$5,7,FALSE)</x:f>
        <x:v>0.5</x:v>
      </x:c>
      <x:c r="X30" s="17" t="n">
        <x:f>R30/S30</x:f>
        <x:v>1.89</x:v>
      </x:c>
      <x:c r="Y30" s="17" t="n">
        <x:f>ROUNDUP(SUM(T30:X30),0)</x:f>
        <x:v>5</x:v>
      </x:c>
      <x:c r="Z30" s="17" t="n">
        <x:f>VLOOKUP(J30,Assumptions!$A$2:$H$5,8,FALSE)</x:f>
        <x:v>1.4</x:v>
      </x:c>
      <x:c r="AA30" s="17" t="n">
        <x:f>ROUNDUP(Y30*Z30,0)</x:f>
        <x:v>7</x:v>
      </x:c>
      <x:c r="AB30" s="17" t="n">
        <x:f>AA30</x:f>
        <x:v>7</x:v>
      </x:c>
      <x:c r="AC30" s="13" t="str">
        <x:v>SYNTHETIC_CALCULATED</x:v>
      </x:c>
      <x:c r="AD30" s="13" t="str">
        <x:v>GEODESIC_MODE_FACTOR_V1</x:v>
      </x:c>
      <x:c r="AE30" s="13" t="str">
        <x:v>LOW</x:v>
      </x:c>
      <x:c r="AF30" s="13" t="str">
        <x:v>DRAFT</x:v>
      </x:c>
      <x:c r="AG30" s="13" t="str">
        <x:v>https://developers.google.com/maps/documentation/routes/compute_route_matrix</x:v>
      </x:c>
      <x:c r="AH30" s="13" t="str">
        <x:v>2026-09-02</x:v>
      </x:c>
    </x:row>
    <x:row r="31">
      <x:c r="A31" s="13" t="str">
        <x:v>V130-V133-AIR</x:v>
      </x:c>
      <x:c r="B31" s="13" t="str">
        <x:v>NET-C130</x:v>
      </x:c>
      <x:c r="C31" s="13" t="str">
        <x:v>SYNTH-20260902-V1</x:v>
      </x:c>
      <x:c r="D31" s="13" t="str">
        <x:v>DSE</x:v>
      </x:c>
      <x:c r="E31" s="13" t="str">
        <x:v>C130</x:v>
      </x:c>
      <x:c r="F31" s="13" t="str">
        <x:v>V130</x:v>
      </x:c>
      <x:c r="G31" s="13" t="str">
        <x:v>V133</x:v>
      </x:c>
      <x:c r="H31" s="13" t="str">
        <x:v>폴란드</x:v>
      </x:c>
      <x:c r="I31" s="13" t="str">
        <x:v>루마니아</x:v>
      </x:c>
      <x:c r="J31" s="13" t="str">
        <x:v>AIR</x:v>
      </x:c>
      <x:c r="K31" s="13" t="n">
        <x:v>2</x:v>
      </x:c>
      <x:c r="L31" s="13" t="n">
        <x:v>52.2297</x:v>
      </x:c>
      <x:c r="M31" s="13" t="n">
        <x:v>21.0122</x:v>
      </x:c>
      <x:c r="N31" s="13" t="n">
        <x:v>44.4268</x:v>
      </x:c>
      <x:c r="O31" s="13" t="n">
        <x:v>26.1025</x:v>
      </x:c>
      <x:c r="P31" s="16" t="n">
        <x:v>945.2</x:v>
      </x:c>
      <x:c r="Q31" s="16" t="n">
        <x:f>VLOOKUP(J31,Assumptions!$A$2:$H$5,2,FALSE)</x:f>
        <x:v>1.05</x:v>
      </x:c>
      <x:c r="R31" s="16" t="n">
        <x:f>ROUND(P31*Q31,0)</x:f>
        <x:v>992</x:v>
      </x:c>
      <x:c r="S31" s="17" t="n">
        <x:f>VLOOKUP(J31,Assumptions!$A$2:$H$5,3,FALSE)</x:f>
        <x:v>18000</x:v>
      </x:c>
      <x:c r="T31" s="17" t="n">
        <x:f>VLOOKUP(J31,Assumptions!$A$2:$H$5,4,FALSE)</x:f>
        <x:v>1</x:v>
      </x:c>
      <x:c r="U31" s="17" t="n">
        <x:f>VLOOKUP(J31,Assumptions!$A$2:$H$5,5,FALSE)</x:f>
        <x:v>1</x:v>
      </x:c>
      <x:c r="V31" s="17" t="n">
        <x:f>VLOOKUP(J31,Assumptions!$A$2:$H$5,6,FALSE)</x:f>
        <x:v>2</x:v>
      </x:c>
      <x:c r="W31" s="17" t="n">
        <x:f>VLOOKUP(J31,Assumptions!$A$2:$H$5,7,FALSE)</x:f>
        <x:v>1</x:v>
      </x:c>
      <x:c r="X31" s="17" t="n">
        <x:f>R31/S31</x:f>
        <x:v>0.05511111111111111</x:v>
      </x:c>
      <x:c r="Y31" s="17" t="n">
        <x:f>ROUNDUP(SUM(T31:X31),0)</x:f>
        <x:v>6</x:v>
      </x:c>
      <x:c r="Z31" s="17" t="n">
        <x:f>VLOOKUP(J31,Assumptions!$A$2:$H$5,8,FALSE)</x:f>
        <x:v>1.3</x:v>
      </x:c>
      <x:c r="AA31" s="17" t="n">
        <x:f>ROUNDUP(Y31*Z31,0)</x:f>
        <x:v>8</x:v>
      </x:c>
      <x:c r="AB31" s="17" t="n">
        <x:f>AA31</x:f>
        <x:v>8</x:v>
      </x:c>
      <x:c r="AC31" s="13" t="str">
        <x:v>SYNTHETIC_CALCULATED</x:v>
      </x:c>
      <x:c r="AD31" s="13" t="str">
        <x:v>GEODESIC_MODE_FACTOR_V1</x:v>
      </x:c>
      <x:c r="AE31" s="13" t="str">
        <x:v>LOW</x:v>
      </x:c>
      <x:c r="AF31" s="13" t="str">
        <x:v>DRAFT</x:v>
      </x:c>
      <x:c r="AG31" s="13" t="str">
        <x:v>https://www.oag.com/airline-schedules-data</x:v>
      </x:c>
      <x:c r="AH31" s="13" t="str">
        <x:v>2026-09-02</x:v>
      </x:c>
    </x:row>
    <x:row r="32">
      <x:c r="A32" s="13" t="str">
        <x:v>V130-V134-ROAD</x:v>
      </x:c>
      <x:c r="B32" s="13" t="str">
        <x:v>NET-C130</x:v>
      </x:c>
      <x:c r="C32" s="13" t="str">
        <x:v>SYNTH-20260902-V1</x:v>
      </x:c>
      <x:c r="D32" s="13" t="str">
        <x:v>DSE</x:v>
      </x:c>
      <x:c r="E32" s="13" t="str">
        <x:v>C130</x:v>
      </x:c>
      <x:c r="F32" s="13" t="str">
        <x:v>V130</x:v>
      </x:c>
      <x:c r="G32" s="13" t="str">
        <x:v>V134</x:v>
      </x:c>
      <x:c r="H32" s="13" t="str">
        <x:v>폴란드</x:v>
      </x:c>
      <x:c r="I32" s="13" t="str">
        <x:v>우크라이나</x:v>
      </x:c>
      <x:c r="J32" s="13" t="str">
        <x:v>ROAD</x:v>
      </x:c>
      <x:c r="K32" s="13" t="n">
        <x:v>1</x:v>
      </x:c>
      <x:c r="L32" s="13" t="n">
        <x:v>52.2297</x:v>
      </x:c>
      <x:c r="M32" s="13" t="n">
        <x:v>21.0122</x:v>
      </x:c>
      <x:c r="N32" s="13" t="n">
        <x:v>50.4501</x:v>
      </x:c>
      <x:c r="O32" s="13" t="n">
        <x:v>30.5234</x:v>
      </x:c>
      <x:c r="P32" s="16" t="n">
        <x:v>689.1</x:v>
      </x:c>
      <x:c r="Q32" s="16" t="n">
        <x:f>VLOOKUP(J32,Assumptions!$A$2:$H$5,2,FALSE)</x:f>
        <x:v>1.2</x:v>
      </x:c>
      <x:c r="R32" s="16" t="n">
        <x:f>ROUND(P32*Q32,0)</x:f>
        <x:v>827</x:v>
      </x:c>
      <x:c r="S32" s="17" t="n">
        <x:f>VLOOKUP(J32,Assumptions!$A$2:$H$5,3,FALSE)</x:f>
        <x:v>600</x:v>
      </x:c>
      <x:c r="T32" s="17" t="n">
        <x:f>VLOOKUP(J32,Assumptions!$A$2:$H$5,4,FALSE)</x:f>
        <x:v>0.5</x:v>
      </x:c>
      <x:c r="U32" s="17" t="n">
        <x:f>VLOOKUP(J32,Assumptions!$A$2:$H$5,5,FALSE)</x:f>
        <x:v>0.5</x:v>
      </x:c>
      <x:c r="V32" s="17" t="n">
        <x:f>VLOOKUP(J32,Assumptions!$A$2:$H$5,6,FALSE)</x:f>
        <x:v>1</x:v>
      </x:c>
      <x:c r="W32" s="17" t="n">
        <x:f>VLOOKUP(J32,Assumptions!$A$2:$H$5,7,FALSE)</x:f>
        <x:v>0.5</x:v>
      </x:c>
      <x:c r="X32" s="17" t="n">
        <x:f>R32/S32</x:f>
        <x:v>1.3783333333333334</x:v>
      </x:c>
      <x:c r="Y32" s="17" t="n">
        <x:f>ROUNDUP(SUM(T32:X32),0)</x:f>
        <x:v>4</x:v>
      </x:c>
      <x:c r="Z32" s="17" t="n">
        <x:f>VLOOKUP(J32,Assumptions!$A$2:$H$5,8,FALSE)</x:f>
        <x:v>1.4</x:v>
      </x:c>
      <x:c r="AA32" s="17" t="n">
        <x:f>ROUNDUP(Y32*Z32,0)</x:f>
        <x:v>6</x:v>
      </x:c>
      <x:c r="AB32" s="17" t="n">
        <x:f>AA32</x:f>
        <x:v>6</x:v>
      </x:c>
      <x:c r="AC32" s="13" t="str">
        <x:v>SYNTHETIC_CALCULATED</x:v>
      </x:c>
      <x:c r="AD32" s="13" t="str">
        <x:v>GEODESIC_MODE_FACTOR_V1</x:v>
      </x:c>
      <x:c r="AE32" s="13" t="str">
        <x:v>LOW</x:v>
      </x:c>
      <x:c r="AF32" s="13" t="str">
        <x:v>DRAFT</x:v>
      </x:c>
      <x:c r="AG32" s="13" t="str">
        <x:v>https://developers.google.com/maps/documentation/routes/compute_route_matrix</x:v>
      </x:c>
      <x:c r="AH32" s="13" t="str">
        <x:v>2026-09-02</x:v>
      </x:c>
    </x:row>
    <x:row r="33">
      <x:c r="A33" s="13" t="str">
        <x:v>V130-V134-AIR</x:v>
      </x:c>
      <x:c r="B33" s="13" t="str">
        <x:v>NET-C130</x:v>
      </x:c>
      <x:c r="C33" s="13" t="str">
        <x:v>SYNTH-20260902-V1</x:v>
      </x:c>
      <x:c r="D33" s="13" t="str">
        <x:v>DSE</x:v>
      </x:c>
      <x:c r="E33" s="13" t="str">
        <x:v>C130</x:v>
      </x:c>
      <x:c r="F33" s="13" t="str">
        <x:v>V130</x:v>
      </x:c>
      <x:c r="G33" s="13" t="str">
        <x:v>V134</x:v>
      </x:c>
      <x:c r="H33" s="13" t="str">
        <x:v>폴란드</x:v>
      </x:c>
      <x:c r="I33" s="13" t="str">
        <x:v>우크라이나</x:v>
      </x:c>
      <x:c r="J33" s="13" t="str">
        <x:v>AIR</x:v>
      </x:c>
      <x:c r="K33" s="13" t="n">
        <x:v>2</x:v>
      </x:c>
      <x:c r="L33" s="13" t="n">
        <x:v>52.2297</x:v>
      </x:c>
      <x:c r="M33" s="13" t="n">
        <x:v>21.0122</x:v>
      </x:c>
      <x:c r="N33" s="13" t="n">
        <x:v>50.4501</x:v>
      </x:c>
      <x:c r="O33" s="13" t="n">
        <x:v>30.5234</x:v>
      </x:c>
      <x:c r="P33" s="16" t="n">
        <x:v>689.1</x:v>
      </x:c>
      <x:c r="Q33" s="16" t="n">
        <x:f>VLOOKUP(J33,Assumptions!$A$2:$H$5,2,FALSE)</x:f>
        <x:v>1.05</x:v>
      </x:c>
      <x:c r="R33" s="16" t="n">
        <x:f>ROUND(P33*Q33,0)</x:f>
        <x:v>724</x:v>
      </x:c>
      <x:c r="S33" s="17" t="n">
        <x:f>VLOOKUP(J33,Assumptions!$A$2:$H$5,3,FALSE)</x:f>
        <x:v>18000</x:v>
      </x:c>
      <x:c r="T33" s="17" t="n">
        <x:f>VLOOKUP(J33,Assumptions!$A$2:$H$5,4,FALSE)</x:f>
        <x:v>1</x:v>
      </x:c>
      <x:c r="U33" s="17" t="n">
        <x:f>VLOOKUP(J33,Assumptions!$A$2:$H$5,5,FALSE)</x:f>
        <x:v>1</x:v>
      </x:c>
      <x:c r="V33" s="17" t="n">
        <x:f>VLOOKUP(J33,Assumptions!$A$2:$H$5,6,FALSE)</x:f>
        <x:v>2</x:v>
      </x:c>
      <x:c r="W33" s="17" t="n">
        <x:f>VLOOKUP(J33,Assumptions!$A$2:$H$5,7,FALSE)</x:f>
        <x:v>1</x:v>
      </x:c>
      <x:c r="X33" s="17" t="n">
        <x:f>R33/S33</x:f>
        <x:v>0.04022222222222222</x:v>
      </x:c>
      <x:c r="Y33" s="17" t="n">
        <x:f>ROUNDUP(SUM(T33:X33),0)</x:f>
        <x:v>6</x:v>
      </x:c>
      <x:c r="Z33" s="17" t="n">
        <x:f>VLOOKUP(J33,Assumptions!$A$2:$H$5,8,FALSE)</x:f>
        <x:v>1.3</x:v>
      </x:c>
      <x:c r="AA33" s="17" t="n">
        <x:f>ROUNDUP(Y33*Z33,0)</x:f>
        <x:v>8</x:v>
      </x:c>
      <x:c r="AB33" s="17" t="n">
        <x:f>AA33</x:f>
        <x:v>8</x:v>
      </x:c>
      <x:c r="AC33" s="13" t="str">
        <x:v>SYNTHETIC_CALCULATED</x:v>
      </x:c>
      <x:c r="AD33" s="13" t="str">
        <x:v>GEODESIC_MODE_FACTOR_V1</x:v>
      </x:c>
      <x:c r="AE33" s="13" t="str">
        <x:v>LOW</x:v>
      </x:c>
      <x:c r="AF33" s="13" t="str">
        <x:v>DRAFT</x:v>
      </x:c>
      <x:c r="AG33" s="13" t="str">
        <x:v>https://www.oag.com/airline-schedules-data</x:v>
      </x:c>
      <x:c r="AH33" s="13" t="str">
        <x:v>2026-09-02</x:v>
      </x:c>
    </x:row>
    <x:row r="34">
      <x:c r="A34" s="13" t="str">
        <x:v>V140-V141-MULTIMODAL</x:v>
      </x:c>
      <x:c r="B34" s="13" t="str">
        <x:v>NET-C140</x:v>
      </x:c>
      <x:c r="C34" s="13" t="str">
        <x:v>SYNTH-20260902-V1</x:v>
      </x:c>
      <x:c r="D34" s="13" t="str">
        <x:v>DSE</x:v>
      </x:c>
      <x:c r="E34" s="13" t="str">
        <x:v>C140</x:v>
      </x:c>
      <x:c r="F34" s="13" t="str">
        <x:v>V140</x:v>
      </x:c>
      <x:c r="G34" s="13" t="str">
        <x:v>V141</x:v>
      </x:c>
      <x:c r="H34" s="13" t="str">
        <x:v>영국</x:v>
      </x:c>
      <x:c r="I34" s="13" t="str">
        <x:v>독일</x:v>
      </x:c>
      <x:c r="J34" s="13" t="str">
        <x:v>MULTIMODAL</x:v>
      </x:c>
      <x:c r="K34" s="13" t="n">
        <x:v>1</x:v>
      </x:c>
      <x:c r="L34" s="13" t="n">
        <x:v>51.5074</x:v>
      </x:c>
      <x:c r="M34" s="13" t="n">
        <x:v>-0.1278</x:v>
      </x:c>
      <x:c r="N34" s="13" t="n">
        <x:v>50.1109</x:v>
      </x:c>
      <x:c r="O34" s="13" t="n">
        <x:v>8.6821</x:v>
      </x:c>
      <x:c r="P34" s="16" t="n">
        <x:v>637.8</x:v>
      </x:c>
      <x:c r="Q34" s="16" t="n">
        <x:f>VLOOKUP(J34,Assumptions!$A$2:$H$5,2,FALSE)</x:f>
        <x:v>1.3</x:v>
      </x:c>
      <x:c r="R34" s="16" t="n">
        <x:f>ROUND(P34*Q34,0)</x:f>
        <x:v>829</x:v>
      </x:c>
      <x:c r="S34" s="17" t="n">
        <x:f>VLOOKUP(J34,Assumptions!$A$2:$H$5,3,FALSE)</x:f>
        <x:v>500</x:v>
      </x:c>
      <x:c r="T34" s="17" t="n">
        <x:f>VLOOKUP(J34,Assumptions!$A$2:$H$5,4,FALSE)</x:f>
        <x:v>1</x:v>
      </x:c>
      <x:c r="U34" s="17" t="n">
        <x:f>VLOOKUP(J34,Assumptions!$A$2:$H$5,5,FALSE)</x:f>
        <x:v>2</x:v>
      </x:c>
      <x:c r="V34" s="17" t="n">
        <x:f>VLOOKUP(J34,Assumptions!$A$2:$H$5,6,FALSE)</x:f>
        <x:v>2</x:v>
      </x:c>
      <x:c r="W34" s="17" t="n">
        <x:f>VLOOKUP(J34,Assumptions!$A$2:$H$5,7,FALSE)</x:f>
        <x:v>1</x:v>
      </x:c>
      <x:c r="X34" s="17" t="n">
        <x:f>R34/S34</x:f>
        <x:v>1.658</x:v>
      </x:c>
      <x:c r="Y34" s="17" t="n">
        <x:f>ROUNDUP(SUM(T34:X34),0)</x:f>
        <x:v>8</x:v>
      </x:c>
      <x:c r="Z34" s="17" t="n">
        <x:f>VLOOKUP(J34,Assumptions!$A$2:$H$5,8,FALSE)</x:f>
        <x:v>1.5</x:v>
      </x:c>
      <x:c r="AA34" s="17" t="n">
        <x:f>ROUNDUP(Y34*Z34,0)</x:f>
        <x:v>12</x:v>
      </x:c>
      <x:c r="AB34" s="17" t="n">
        <x:f>AA34</x:f>
        <x:v>12</x:v>
      </x:c>
      <x:c r="AC34" s="13" t="str">
        <x:v>SYNTHETIC_CALCULATED</x:v>
      </x:c>
      <x:c r="AD34" s="13" t="str">
        <x:v>GEODESIC_MODE_FACTOR_V1</x:v>
      </x:c>
      <x:c r="AE34" s="13" t="str">
        <x:v>LOW</x:v>
      </x:c>
      <x:c r="AF34" s="13" t="str">
        <x:v>DRAFT</x:v>
      </x:c>
      <x:c r="AG34" s="13" t="str">
        <x:v>https://developers.google.com/maps/documentation/routes/compute_route_matrix</x:v>
      </x:c>
      <x:c r="AH34" s="13" t="str">
        <x:v>2026-09-02</x:v>
      </x:c>
    </x:row>
    <x:row r="35">
      <x:c r="A35" s="13" t="str">
        <x:v>V140-V141-AIR</x:v>
      </x:c>
      <x:c r="B35" s="13" t="str">
        <x:v>NET-C140</x:v>
      </x:c>
      <x:c r="C35" s="13" t="str">
        <x:v>SYNTH-20260902-V1</x:v>
      </x:c>
      <x:c r="D35" s="13" t="str">
        <x:v>DSE</x:v>
      </x:c>
      <x:c r="E35" s="13" t="str">
        <x:v>C140</x:v>
      </x:c>
      <x:c r="F35" s="13" t="str">
        <x:v>V140</x:v>
      </x:c>
      <x:c r="G35" s="13" t="str">
        <x:v>V141</x:v>
      </x:c>
      <x:c r="H35" s="13" t="str">
        <x:v>영국</x:v>
      </x:c>
      <x:c r="I35" s="13" t="str">
        <x:v>독일</x:v>
      </x:c>
      <x:c r="J35" s="13" t="str">
        <x:v>AIR</x:v>
      </x:c>
      <x:c r="K35" s="13" t="n">
        <x:v>2</x:v>
      </x:c>
      <x:c r="L35" s="13" t="n">
        <x:v>51.5074</x:v>
      </x:c>
      <x:c r="M35" s="13" t="n">
        <x:v>-0.1278</x:v>
      </x:c>
      <x:c r="N35" s="13" t="n">
        <x:v>50.1109</x:v>
      </x:c>
      <x:c r="O35" s="13" t="n">
        <x:v>8.6821</x:v>
      </x:c>
      <x:c r="P35" s="16" t="n">
        <x:v>637.8</x:v>
      </x:c>
      <x:c r="Q35" s="16" t="n">
        <x:f>VLOOKUP(J35,Assumptions!$A$2:$H$5,2,FALSE)</x:f>
        <x:v>1.05</x:v>
      </x:c>
      <x:c r="R35" s="16" t="n">
        <x:f>ROUND(P35*Q35,0)</x:f>
        <x:v>670</x:v>
      </x:c>
      <x:c r="S35" s="17" t="n">
        <x:f>VLOOKUP(J35,Assumptions!$A$2:$H$5,3,FALSE)</x:f>
        <x:v>18000</x:v>
      </x:c>
      <x:c r="T35" s="17" t="n">
        <x:f>VLOOKUP(J35,Assumptions!$A$2:$H$5,4,FALSE)</x:f>
        <x:v>1</x:v>
      </x:c>
      <x:c r="U35" s="17" t="n">
        <x:f>VLOOKUP(J35,Assumptions!$A$2:$H$5,5,FALSE)</x:f>
        <x:v>1</x:v>
      </x:c>
      <x:c r="V35" s="17" t="n">
        <x:f>VLOOKUP(J35,Assumptions!$A$2:$H$5,6,FALSE)</x:f>
        <x:v>2</x:v>
      </x:c>
      <x:c r="W35" s="17" t="n">
        <x:f>VLOOKUP(J35,Assumptions!$A$2:$H$5,7,FALSE)</x:f>
        <x:v>1</x:v>
      </x:c>
      <x:c r="X35" s="17" t="n">
        <x:f>R35/S35</x:f>
        <x:v>0.03722222222222222</x:v>
      </x:c>
      <x:c r="Y35" s="17" t="n">
        <x:f>ROUNDUP(SUM(T35:X35),0)</x:f>
        <x:v>6</x:v>
      </x:c>
      <x:c r="Z35" s="17" t="n">
        <x:f>VLOOKUP(J35,Assumptions!$A$2:$H$5,8,FALSE)</x:f>
        <x:v>1.3</x:v>
      </x:c>
      <x:c r="AA35" s="17" t="n">
        <x:f>ROUNDUP(Y35*Z35,0)</x:f>
        <x:v>8</x:v>
      </x:c>
      <x:c r="AB35" s="17" t="n">
        <x:f>AA35</x:f>
        <x:v>8</x:v>
      </x:c>
      <x:c r="AC35" s="13" t="str">
        <x:v>SYNTHETIC_CALCULATED</x:v>
      </x:c>
      <x:c r="AD35" s="13" t="str">
        <x:v>GEODESIC_MODE_FACTOR_V1</x:v>
      </x:c>
      <x:c r="AE35" s="13" t="str">
        <x:v>LOW</x:v>
      </x:c>
      <x:c r="AF35" s="13" t="str">
        <x:v>DRAFT</x:v>
      </x:c>
      <x:c r="AG35" s="13" t="str">
        <x:v>https://www.oag.com/airline-schedules-data</x:v>
      </x:c>
      <x:c r="AH35" s="13" t="str">
        <x:v>2026-09-02</x:v>
      </x:c>
    </x:row>
    <x:row r="36">
      <x:c r="A36" s="13" t="str">
        <x:v>V140-V142-MULTIMODAL</x:v>
      </x:c>
      <x:c r="B36" s="13" t="str">
        <x:v>NET-C140</x:v>
      </x:c>
      <x:c r="C36" s="13" t="str">
        <x:v>SYNTH-20260902-V1</x:v>
      </x:c>
      <x:c r="D36" s="13" t="str">
        <x:v>DSE</x:v>
      </x:c>
      <x:c r="E36" s="13" t="str">
        <x:v>C140</x:v>
      </x:c>
      <x:c r="F36" s="13" t="str">
        <x:v>V140</x:v>
      </x:c>
      <x:c r="G36" s="13" t="str">
        <x:v>V142</x:v>
      </x:c>
      <x:c r="H36" s="13" t="str">
        <x:v>영국</x:v>
      </x:c>
      <x:c r="I36" s="13" t="str">
        <x:v>프랑스</x:v>
      </x:c>
      <x:c r="J36" s="13" t="str">
        <x:v>MULTIMODAL</x:v>
      </x:c>
      <x:c r="K36" s="13" t="n">
        <x:v>1</x:v>
      </x:c>
      <x:c r="L36" s="13" t="n">
        <x:v>51.5074</x:v>
      </x:c>
      <x:c r="M36" s="13" t="n">
        <x:v>-0.1278</x:v>
      </x:c>
      <x:c r="N36" s="13" t="n">
        <x:v>48.8566</x:v>
      </x:c>
      <x:c r="O36" s="13" t="n">
        <x:v>2.3522</x:v>
      </x:c>
      <x:c r="P36" s="16" t="n">
        <x:v>343.6</x:v>
      </x:c>
      <x:c r="Q36" s="16" t="n">
        <x:f>VLOOKUP(J36,Assumptions!$A$2:$H$5,2,FALSE)</x:f>
        <x:v>1.3</x:v>
      </x:c>
      <x:c r="R36" s="16" t="n">
        <x:f>ROUND(P36*Q36,0)</x:f>
        <x:v>447</x:v>
      </x:c>
      <x:c r="S36" s="17" t="n">
        <x:f>VLOOKUP(J36,Assumptions!$A$2:$H$5,3,FALSE)</x:f>
        <x:v>500</x:v>
      </x:c>
      <x:c r="T36" s="17" t="n">
        <x:f>VLOOKUP(J36,Assumptions!$A$2:$H$5,4,FALSE)</x:f>
        <x:v>1</x:v>
      </x:c>
      <x:c r="U36" s="17" t="n">
        <x:f>VLOOKUP(J36,Assumptions!$A$2:$H$5,5,FALSE)</x:f>
        <x:v>2</x:v>
      </x:c>
      <x:c r="V36" s="17" t="n">
        <x:f>VLOOKUP(J36,Assumptions!$A$2:$H$5,6,FALSE)</x:f>
        <x:v>2</x:v>
      </x:c>
      <x:c r="W36" s="17" t="n">
        <x:f>VLOOKUP(J36,Assumptions!$A$2:$H$5,7,FALSE)</x:f>
        <x:v>1</x:v>
      </x:c>
      <x:c r="X36" s="17" t="n">
        <x:f>R36/S36</x:f>
        <x:v>0.894</x:v>
      </x:c>
      <x:c r="Y36" s="17" t="n">
        <x:f>ROUNDUP(SUM(T36:X36),0)</x:f>
        <x:v>7</x:v>
      </x:c>
      <x:c r="Z36" s="17" t="n">
        <x:f>VLOOKUP(J36,Assumptions!$A$2:$H$5,8,FALSE)</x:f>
        <x:v>1.5</x:v>
      </x:c>
      <x:c r="AA36" s="17" t="n">
        <x:f>ROUNDUP(Y36*Z36,0)</x:f>
        <x:v>11</x:v>
      </x:c>
      <x:c r="AB36" s="17" t="n">
        <x:f>AA36</x:f>
        <x:v>11</x:v>
      </x:c>
      <x:c r="AC36" s="13" t="str">
        <x:v>SYNTHETIC_CALCULATED</x:v>
      </x:c>
      <x:c r="AD36" s="13" t="str">
        <x:v>GEODESIC_MODE_FACTOR_V1</x:v>
      </x:c>
      <x:c r="AE36" s="13" t="str">
        <x:v>LOW</x:v>
      </x:c>
      <x:c r="AF36" s="13" t="str">
        <x:v>DRAFT</x:v>
      </x:c>
      <x:c r="AG36" s="13" t="str">
        <x:v>https://developers.google.com/maps/documentation/routes/compute_route_matrix</x:v>
      </x:c>
      <x:c r="AH36" s="13" t="str">
        <x:v>2026-09-02</x:v>
      </x:c>
    </x:row>
    <x:row r="37">
      <x:c r="A37" s="13" t="str">
        <x:v>V140-V142-AIR</x:v>
      </x:c>
      <x:c r="B37" s="13" t="str">
        <x:v>NET-C140</x:v>
      </x:c>
      <x:c r="C37" s="13" t="str">
        <x:v>SYNTH-20260902-V1</x:v>
      </x:c>
      <x:c r="D37" s="13" t="str">
        <x:v>DSE</x:v>
      </x:c>
      <x:c r="E37" s="13" t="str">
        <x:v>C140</x:v>
      </x:c>
      <x:c r="F37" s="13" t="str">
        <x:v>V140</x:v>
      </x:c>
      <x:c r="G37" s="13" t="str">
        <x:v>V142</x:v>
      </x:c>
      <x:c r="H37" s="13" t="str">
        <x:v>영국</x:v>
      </x:c>
      <x:c r="I37" s="13" t="str">
        <x:v>프랑스</x:v>
      </x:c>
      <x:c r="J37" s="13" t="str">
        <x:v>AIR</x:v>
      </x:c>
      <x:c r="K37" s="13" t="n">
        <x:v>2</x:v>
      </x:c>
      <x:c r="L37" s="13" t="n">
        <x:v>51.5074</x:v>
      </x:c>
      <x:c r="M37" s="13" t="n">
        <x:v>-0.1278</x:v>
      </x:c>
      <x:c r="N37" s="13" t="n">
        <x:v>48.8566</x:v>
      </x:c>
      <x:c r="O37" s="13" t="n">
        <x:v>2.3522</x:v>
      </x:c>
      <x:c r="P37" s="16" t="n">
        <x:v>343.6</x:v>
      </x:c>
      <x:c r="Q37" s="16" t="n">
        <x:f>VLOOKUP(J37,Assumptions!$A$2:$H$5,2,FALSE)</x:f>
        <x:v>1.05</x:v>
      </x:c>
      <x:c r="R37" s="16" t="n">
        <x:f>ROUND(P37*Q37,0)</x:f>
        <x:v>361</x:v>
      </x:c>
      <x:c r="S37" s="17" t="n">
        <x:f>VLOOKUP(J37,Assumptions!$A$2:$H$5,3,FALSE)</x:f>
        <x:v>18000</x:v>
      </x:c>
      <x:c r="T37" s="17" t="n">
        <x:f>VLOOKUP(J37,Assumptions!$A$2:$H$5,4,FALSE)</x:f>
        <x:v>1</x:v>
      </x:c>
      <x:c r="U37" s="17" t="n">
        <x:f>VLOOKUP(J37,Assumptions!$A$2:$H$5,5,FALSE)</x:f>
        <x:v>1</x:v>
      </x:c>
      <x:c r="V37" s="17" t="n">
        <x:f>VLOOKUP(J37,Assumptions!$A$2:$H$5,6,FALSE)</x:f>
        <x:v>2</x:v>
      </x:c>
      <x:c r="W37" s="17" t="n">
        <x:f>VLOOKUP(J37,Assumptions!$A$2:$H$5,7,FALSE)</x:f>
        <x:v>1</x:v>
      </x:c>
      <x:c r="X37" s="17" t="n">
        <x:f>R37/S37</x:f>
        <x:v>0.020055555555555556</x:v>
      </x:c>
      <x:c r="Y37" s="17" t="n">
        <x:f>ROUNDUP(SUM(T37:X37),0)</x:f>
        <x:v>6</x:v>
      </x:c>
      <x:c r="Z37" s="17" t="n">
        <x:f>VLOOKUP(J37,Assumptions!$A$2:$H$5,8,FALSE)</x:f>
        <x:v>1.3</x:v>
      </x:c>
      <x:c r="AA37" s="17" t="n">
        <x:f>ROUNDUP(Y37*Z37,0)</x:f>
        <x:v>8</x:v>
      </x:c>
      <x:c r="AB37" s="17" t="n">
        <x:f>AA37</x:f>
        <x:v>8</x:v>
      </x:c>
      <x:c r="AC37" s="13" t="str">
        <x:v>SYNTHETIC_CALCULATED</x:v>
      </x:c>
      <x:c r="AD37" s="13" t="str">
        <x:v>GEODESIC_MODE_FACTOR_V1</x:v>
      </x:c>
      <x:c r="AE37" s="13" t="str">
        <x:v>LOW</x:v>
      </x:c>
      <x:c r="AF37" s="13" t="str">
        <x:v>DRAFT</x:v>
      </x:c>
      <x:c r="AG37" s="13" t="str">
        <x:v>https://www.oag.com/airline-schedules-data</x:v>
      </x:c>
      <x:c r="AH37" s="13" t="str">
        <x:v>2026-09-02</x:v>
      </x:c>
    </x:row>
    <x:row r="38">
      <x:c r="A38" s="13" t="str">
        <x:v>V140-V143-MULTIMODAL</x:v>
      </x:c>
      <x:c r="B38" s="13" t="str">
        <x:v>NET-C140</x:v>
      </x:c>
      <x:c r="C38" s="13" t="str">
        <x:v>SYNTH-20260902-V1</x:v>
      </x:c>
      <x:c r="D38" s="13" t="str">
        <x:v>DSE</x:v>
      </x:c>
      <x:c r="E38" s="13" t="str">
        <x:v>C140</x:v>
      </x:c>
      <x:c r="F38" s="13" t="str">
        <x:v>V140</x:v>
      </x:c>
      <x:c r="G38" s="13" t="str">
        <x:v>V143</x:v>
      </x:c>
      <x:c r="H38" s="13" t="str">
        <x:v>영국</x:v>
      </x:c>
      <x:c r="I38" s="13" t="str">
        <x:v>네덜란드</x:v>
      </x:c>
      <x:c r="J38" s="13" t="str">
        <x:v>MULTIMODAL</x:v>
      </x:c>
      <x:c r="K38" s="13" t="n">
        <x:v>1</x:v>
      </x:c>
      <x:c r="L38" s="13" t="n">
        <x:v>51.5074</x:v>
      </x:c>
      <x:c r="M38" s="13" t="n">
        <x:v>-0.1278</x:v>
      </x:c>
      <x:c r="N38" s="13" t="n">
        <x:v>51.9244</x:v>
      </x:c>
      <x:c r="O38" s="13" t="n">
        <x:v>4.4777</x:v>
      </x:c>
      <x:c r="P38" s="16" t="n">
        <x:v>320.6</x:v>
      </x:c>
      <x:c r="Q38" s="16" t="n">
        <x:f>VLOOKUP(J38,Assumptions!$A$2:$H$5,2,FALSE)</x:f>
        <x:v>1.3</x:v>
      </x:c>
      <x:c r="R38" s="16" t="n">
        <x:f>ROUND(P38*Q38,0)</x:f>
        <x:v>417</x:v>
      </x:c>
      <x:c r="S38" s="17" t="n">
        <x:f>VLOOKUP(J38,Assumptions!$A$2:$H$5,3,FALSE)</x:f>
        <x:v>500</x:v>
      </x:c>
      <x:c r="T38" s="17" t="n">
        <x:f>VLOOKUP(J38,Assumptions!$A$2:$H$5,4,FALSE)</x:f>
        <x:v>1</x:v>
      </x:c>
      <x:c r="U38" s="17" t="n">
        <x:f>VLOOKUP(J38,Assumptions!$A$2:$H$5,5,FALSE)</x:f>
        <x:v>2</x:v>
      </x:c>
      <x:c r="V38" s="17" t="n">
        <x:f>VLOOKUP(J38,Assumptions!$A$2:$H$5,6,FALSE)</x:f>
        <x:v>2</x:v>
      </x:c>
      <x:c r="W38" s="17" t="n">
        <x:f>VLOOKUP(J38,Assumptions!$A$2:$H$5,7,FALSE)</x:f>
        <x:v>1</x:v>
      </x:c>
      <x:c r="X38" s="17" t="n">
        <x:f>R38/S38</x:f>
        <x:v>0.834</x:v>
      </x:c>
      <x:c r="Y38" s="17" t="n">
        <x:f>ROUNDUP(SUM(T38:X38),0)</x:f>
        <x:v>7</x:v>
      </x:c>
      <x:c r="Z38" s="17" t="n">
        <x:f>VLOOKUP(J38,Assumptions!$A$2:$H$5,8,FALSE)</x:f>
        <x:v>1.5</x:v>
      </x:c>
      <x:c r="AA38" s="17" t="n">
        <x:f>ROUNDUP(Y38*Z38,0)</x:f>
        <x:v>11</x:v>
      </x:c>
      <x:c r="AB38" s="17" t="n">
        <x:f>AA38</x:f>
        <x:v>11</x:v>
      </x:c>
      <x:c r="AC38" s="13" t="str">
        <x:v>SYNTHETIC_CALCULATED</x:v>
      </x:c>
      <x:c r="AD38" s="13" t="str">
        <x:v>GEODESIC_MODE_FACTOR_V1</x:v>
      </x:c>
      <x:c r="AE38" s="13" t="str">
        <x:v>LOW</x:v>
      </x:c>
      <x:c r="AF38" s="13" t="str">
        <x:v>DRAFT</x:v>
      </x:c>
      <x:c r="AG38" s="13" t="str">
        <x:v>https://developers.google.com/maps/documentation/routes/compute_route_matrix</x:v>
      </x:c>
      <x:c r="AH38" s="13" t="str">
        <x:v>2026-09-02</x:v>
      </x:c>
    </x:row>
    <x:row r="39">
      <x:c r="A39" s="13" t="str">
        <x:v>V140-V143-AIR</x:v>
      </x:c>
      <x:c r="B39" s="13" t="str">
        <x:v>NET-C140</x:v>
      </x:c>
      <x:c r="C39" s="13" t="str">
        <x:v>SYNTH-20260902-V1</x:v>
      </x:c>
      <x:c r="D39" s="13" t="str">
        <x:v>DSE</x:v>
      </x:c>
      <x:c r="E39" s="13" t="str">
        <x:v>C140</x:v>
      </x:c>
      <x:c r="F39" s="13" t="str">
        <x:v>V140</x:v>
      </x:c>
      <x:c r="G39" s="13" t="str">
        <x:v>V143</x:v>
      </x:c>
      <x:c r="H39" s="13" t="str">
        <x:v>영국</x:v>
      </x:c>
      <x:c r="I39" s="13" t="str">
        <x:v>네덜란드</x:v>
      </x:c>
      <x:c r="J39" s="13" t="str">
        <x:v>AIR</x:v>
      </x:c>
      <x:c r="K39" s="13" t="n">
        <x:v>2</x:v>
      </x:c>
      <x:c r="L39" s="13" t="n">
        <x:v>51.5074</x:v>
      </x:c>
      <x:c r="M39" s="13" t="n">
        <x:v>-0.1278</x:v>
      </x:c>
      <x:c r="N39" s="13" t="n">
        <x:v>51.9244</x:v>
      </x:c>
      <x:c r="O39" s="13" t="n">
        <x:v>4.4777</x:v>
      </x:c>
      <x:c r="P39" s="16" t="n">
        <x:v>320.6</x:v>
      </x:c>
      <x:c r="Q39" s="16" t="n">
        <x:f>VLOOKUP(J39,Assumptions!$A$2:$H$5,2,FALSE)</x:f>
        <x:v>1.05</x:v>
      </x:c>
      <x:c r="R39" s="16" t="n">
        <x:f>ROUND(P39*Q39,0)</x:f>
        <x:v>337</x:v>
      </x:c>
      <x:c r="S39" s="17" t="n">
        <x:f>VLOOKUP(J39,Assumptions!$A$2:$H$5,3,FALSE)</x:f>
        <x:v>18000</x:v>
      </x:c>
      <x:c r="T39" s="17" t="n">
        <x:f>VLOOKUP(J39,Assumptions!$A$2:$H$5,4,FALSE)</x:f>
        <x:v>1</x:v>
      </x:c>
      <x:c r="U39" s="17" t="n">
        <x:f>VLOOKUP(J39,Assumptions!$A$2:$H$5,5,FALSE)</x:f>
        <x:v>1</x:v>
      </x:c>
      <x:c r="V39" s="17" t="n">
        <x:f>VLOOKUP(J39,Assumptions!$A$2:$H$5,6,FALSE)</x:f>
        <x:v>2</x:v>
      </x:c>
      <x:c r="W39" s="17" t="n">
        <x:f>VLOOKUP(J39,Assumptions!$A$2:$H$5,7,FALSE)</x:f>
        <x:v>1</x:v>
      </x:c>
      <x:c r="X39" s="17" t="n">
        <x:f>R39/S39</x:f>
        <x:v>0.018722222222222223</x:v>
      </x:c>
      <x:c r="Y39" s="17" t="n">
        <x:f>ROUNDUP(SUM(T39:X39),0)</x:f>
        <x:v>6</x:v>
      </x:c>
      <x:c r="Z39" s="17" t="n">
        <x:f>VLOOKUP(J39,Assumptions!$A$2:$H$5,8,FALSE)</x:f>
        <x:v>1.3</x:v>
      </x:c>
      <x:c r="AA39" s="17" t="n">
        <x:f>ROUNDUP(Y39*Z39,0)</x:f>
        <x:v>8</x:v>
      </x:c>
      <x:c r="AB39" s="17" t="n">
        <x:f>AA39</x:f>
        <x:v>8</x:v>
      </x:c>
      <x:c r="AC39" s="13" t="str">
        <x:v>SYNTHETIC_CALCULATED</x:v>
      </x:c>
      <x:c r="AD39" s="13" t="str">
        <x:v>GEODESIC_MODE_FACTOR_V1</x:v>
      </x:c>
      <x:c r="AE39" s="13" t="str">
        <x:v>LOW</x:v>
      </x:c>
      <x:c r="AF39" s="13" t="str">
        <x:v>DRAFT</x:v>
      </x:c>
      <x:c r="AG39" s="13" t="str">
        <x:v>https://www.oag.com/airline-schedules-data</x:v>
      </x:c>
      <x:c r="AH39" s="13" t="str">
        <x:v>2026-09-02</x:v>
      </x:c>
    </x:row>
    <x:row r="40">
      <x:c r="A40" s="13" t="str">
        <x:v>V140-V144-MULTIMODAL</x:v>
      </x:c>
      <x:c r="B40" s="13" t="str">
        <x:v>NET-C140</x:v>
      </x:c>
      <x:c r="C40" s="13" t="str">
        <x:v>SYNTH-20260902-V1</x:v>
      </x:c>
      <x:c r="D40" s="13" t="str">
        <x:v>DSE</x:v>
      </x:c>
      <x:c r="E40" s="13" t="str">
        <x:v>C140</x:v>
      </x:c>
      <x:c r="F40" s="13" t="str">
        <x:v>V140</x:v>
      </x:c>
      <x:c r="G40" s="13" t="str">
        <x:v>V144</x:v>
      </x:c>
      <x:c r="H40" s="13" t="str">
        <x:v>영국</x:v>
      </x:c>
      <x:c r="I40" s="13" t="str">
        <x:v>스위스</x:v>
      </x:c>
      <x:c r="J40" s="13" t="str">
        <x:v>MULTIMODAL</x:v>
      </x:c>
      <x:c r="K40" s="13" t="n">
        <x:v>1</x:v>
      </x:c>
      <x:c r="L40" s="13" t="n">
        <x:v>51.5074</x:v>
      </x:c>
      <x:c r="M40" s="13" t="n">
        <x:v>-0.1278</x:v>
      </x:c>
      <x:c r="N40" s="13" t="n">
        <x:v>47.3769</x:v>
      </x:c>
      <x:c r="O40" s="13" t="n">
        <x:v>8.5417</x:v>
      </x:c>
      <x:c r="P40" s="16" t="n">
        <x:v>776.2</x:v>
      </x:c>
      <x:c r="Q40" s="16" t="n">
        <x:f>VLOOKUP(J40,Assumptions!$A$2:$H$5,2,FALSE)</x:f>
        <x:v>1.3</x:v>
      </x:c>
      <x:c r="R40" s="16" t="n">
        <x:f>ROUND(P40*Q40,0)</x:f>
        <x:v>1009</x:v>
      </x:c>
      <x:c r="S40" s="17" t="n">
        <x:f>VLOOKUP(J40,Assumptions!$A$2:$H$5,3,FALSE)</x:f>
        <x:v>500</x:v>
      </x:c>
      <x:c r="T40" s="17" t="n">
        <x:f>VLOOKUP(J40,Assumptions!$A$2:$H$5,4,FALSE)</x:f>
        <x:v>1</x:v>
      </x:c>
      <x:c r="U40" s="17" t="n">
        <x:f>VLOOKUP(J40,Assumptions!$A$2:$H$5,5,FALSE)</x:f>
        <x:v>2</x:v>
      </x:c>
      <x:c r="V40" s="17" t="n">
        <x:f>VLOOKUP(J40,Assumptions!$A$2:$H$5,6,FALSE)</x:f>
        <x:v>2</x:v>
      </x:c>
      <x:c r="W40" s="17" t="n">
        <x:f>VLOOKUP(J40,Assumptions!$A$2:$H$5,7,FALSE)</x:f>
        <x:v>1</x:v>
      </x:c>
      <x:c r="X40" s="17" t="n">
        <x:f>R40/S40</x:f>
        <x:v>2.018</x:v>
      </x:c>
      <x:c r="Y40" s="17" t="n">
        <x:f>ROUNDUP(SUM(T40:X40),0)</x:f>
        <x:v>9</x:v>
      </x:c>
      <x:c r="Z40" s="17" t="n">
        <x:f>VLOOKUP(J40,Assumptions!$A$2:$H$5,8,FALSE)</x:f>
        <x:v>1.5</x:v>
      </x:c>
      <x:c r="AA40" s="17" t="n">
        <x:f>ROUNDUP(Y40*Z40,0)</x:f>
        <x:v>14</x:v>
      </x:c>
      <x:c r="AB40" s="17" t="n">
        <x:f>AA40</x:f>
        <x:v>14</x:v>
      </x:c>
      <x:c r="AC40" s="13" t="str">
        <x:v>SYNTHETIC_CALCULATED</x:v>
      </x:c>
      <x:c r="AD40" s="13" t="str">
        <x:v>GEODESIC_MODE_FACTOR_V1</x:v>
      </x:c>
      <x:c r="AE40" s="13" t="str">
        <x:v>LOW</x:v>
      </x:c>
      <x:c r="AF40" s="13" t="str">
        <x:v>DRAFT</x:v>
      </x:c>
      <x:c r="AG40" s="13" t="str">
        <x:v>https://developers.google.com/maps/documentation/routes/compute_route_matrix</x:v>
      </x:c>
      <x:c r="AH40" s="13" t="str">
        <x:v>2026-09-02</x:v>
      </x:c>
    </x:row>
    <x:row r="41">
      <x:c r="A41" s="13" t="str">
        <x:v>V140-V144-AIR</x:v>
      </x:c>
      <x:c r="B41" s="13" t="str">
        <x:v>NET-C140</x:v>
      </x:c>
      <x:c r="C41" s="13" t="str">
        <x:v>SYNTH-20260902-V1</x:v>
      </x:c>
      <x:c r="D41" s="13" t="str">
        <x:v>DSE</x:v>
      </x:c>
      <x:c r="E41" s="13" t="str">
        <x:v>C140</x:v>
      </x:c>
      <x:c r="F41" s="13" t="str">
        <x:v>V140</x:v>
      </x:c>
      <x:c r="G41" s="13" t="str">
        <x:v>V144</x:v>
      </x:c>
      <x:c r="H41" s="13" t="str">
        <x:v>영국</x:v>
      </x:c>
      <x:c r="I41" s="13" t="str">
        <x:v>스위스</x:v>
      </x:c>
      <x:c r="J41" s="13" t="str">
        <x:v>AIR</x:v>
      </x:c>
      <x:c r="K41" s="13" t="n">
        <x:v>2</x:v>
      </x:c>
      <x:c r="L41" s="13" t="n">
        <x:v>51.5074</x:v>
      </x:c>
      <x:c r="M41" s="13" t="n">
        <x:v>-0.1278</x:v>
      </x:c>
      <x:c r="N41" s="13" t="n">
        <x:v>47.3769</x:v>
      </x:c>
      <x:c r="O41" s="13" t="n">
        <x:v>8.5417</x:v>
      </x:c>
      <x:c r="P41" s="16" t="n">
        <x:v>776.2</x:v>
      </x:c>
      <x:c r="Q41" s="16" t="n">
        <x:f>VLOOKUP(J41,Assumptions!$A$2:$H$5,2,FALSE)</x:f>
        <x:v>1.05</x:v>
      </x:c>
      <x:c r="R41" s="16" t="n">
        <x:f>ROUND(P41*Q41,0)</x:f>
        <x:v>815</x:v>
      </x:c>
      <x:c r="S41" s="17" t="n">
        <x:f>VLOOKUP(J41,Assumptions!$A$2:$H$5,3,FALSE)</x:f>
        <x:v>18000</x:v>
      </x:c>
      <x:c r="T41" s="17" t="n">
        <x:f>VLOOKUP(J41,Assumptions!$A$2:$H$5,4,FALSE)</x:f>
        <x:v>1</x:v>
      </x:c>
      <x:c r="U41" s="17" t="n">
        <x:f>VLOOKUP(J41,Assumptions!$A$2:$H$5,5,FALSE)</x:f>
        <x:v>1</x:v>
      </x:c>
      <x:c r="V41" s="17" t="n">
        <x:f>VLOOKUP(J41,Assumptions!$A$2:$H$5,6,FALSE)</x:f>
        <x:v>2</x:v>
      </x:c>
      <x:c r="W41" s="17" t="n">
        <x:f>VLOOKUP(J41,Assumptions!$A$2:$H$5,7,FALSE)</x:f>
        <x:v>1</x:v>
      </x:c>
      <x:c r="X41" s="17" t="n">
        <x:f>R41/S41</x:f>
        <x:v>0.04527777777777778</x:v>
      </x:c>
      <x:c r="Y41" s="17" t="n">
        <x:f>ROUNDUP(SUM(T41:X41),0)</x:f>
        <x:v>6</x:v>
      </x:c>
      <x:c r="Z41" s="17" t="n">
        <x:f>VLOOKUP(J41,Assumptions!$A$2:$H$5,8,FALSE)</x:f>
        <x:v>1.3</x:v>
      </x:c>
      <x:c r="AA41" s="17" t="n">
        <x:f>ROUNDUP(Y41*Z41,0)</x:f>
        <x:v>8</x:v>
      </x:c>
      <x:c r="AB41" s="17" t="n">
        <x:f>AA41</x:f>
        <x:v>8</x:v>
      </x:c>
      <x:c r="AC41" s="13" t="str">
        <x:v>SYNTHETIC_CALCULATED</x:v>
      </x:c>
      <x:c r="AD41" s="13" t="str">
        <x:v>GEODESIC_MODE_FACTOR_V1</x:v>
      </x:c>
      <x:c r="AE41" s="13" t="str">
        <x:v>LOW</x:v>
      </x:c>
      <x:c r="AF41" s="13" t="str">
        <x:v>DRAFT</x:v>
      </x:c>
      <x:c r="AG41" s="13" t="str">
        <x:v>https://www.oag.com/airline-schedules-data</x:v>
      </x:c>
      <x:c r="AH41" s="13" t="str">
        <x:v>2026-09-02</x:v>
      </x:c>
    </x:row>
    <x:row r="42">
      <x:c r="A42" s="13" t="str">
        <x:v>V150-V151-ROAD</x:v>
      </x:c>
      <x:c r="B42" s="13" t="str">
        <x:v>NET-C150</x:v>
      </x:c>
      <x:c r="C42" s="13" t="str">
        <x:v>SYNTH-20260902-V1</x:v>
      </x:c>
      <x:c r="D42" s="13" t="str">
        <x:v>DSE</x:v>
      </x:c>
      <x:c r="E42" s="13" t="str">
        <x:v>C150</x:v>
      </x:c>
      <x:c r="F42" s="13" t="str">
        <x:v>V150</x:v>
      </x:c>
      <x:c r="G42" s="13" t="str">
        <x:v>V151</x:v>
      </x:c>
      <x:c r="H42" s="13" t="str">
        <x:v>이탈리아</x:v>
      </x:c>
      <x:c r="I42" s="13" t="str">
        <x:v>스페인</x:v>
      </x:c>
      <x:c r="J42" s="13" t="str">
        <x:v>ROAD</x:v>
      </x:c>
      <x:c r="K42" s="13" t="n">
        <x:v>1</x:v>
      </x:c>
      <x:c r="L42" s="13" t="n">
        <x:v>45.4642</x:v>
      </x:c>
      <x:c r="M42" s="13" t="n">
        <x:v>9.19</x:v>
      </x:c>
      <x:c r="N42" s="13" t="n">
        <x:v>40.4168</x:v>
      </x:c>
      <x:c r="O42" s="13" t="n">
        <x:v>-3.7038</x:v>
      </x:c>
      <x:c r="P42" s="16" t="n">
        <x:v>1188.2</x:v>
      </x:c>
      <x:c r="Q42" s="16" t="n">
        <x:f>VLOOKUP(J42,Assumptions!$A$2:$H$5,2,FALSE)</x:f>
        <x:v>1.2</x:v>
      </x:c>
      <x:c r="R42" s="16" t="n">
        <x:f>ROUND(P42*Q42,0)</x:f>
        <x:v>1426</x:v>
      </x:c>
      <x:c r="S42" s="17" t="n">
        <x:f>VLOOKUP(J42,Assumptions!$A$2:$H$5,3,FALSE)</x:f>
        <x:v>600</x:v>
      </x:c>
      <x:c r="T42" s="17" t="n">
        <x:f>VLOOKUP(J42,Assumptions!$A$2:$H$5,4,FALSE)</x:f>
        <x:v>0.5</x:v>
      </x:c>
      <x:c r="U42" s="17" t="n">
        <x:f>VLOOKUP(J42,Assumptions!$A$2:$H$5,5,FALSE)</x:f>
        <x:v>0.5</x:v>
      </x:c>
      <x:c r="V42" s="17" t="n">
        <x:f>VLOOKUP(J42,Assumptions!$A$2:$H$5,6,FALSE)</x:f>
        <x:v>1</x:v>
      </x:c>
      <x:c r="W42" s="17" t="n">
        <x:f>VLOOKUP(J42,Assumptions!$A$2:$H$5,7,FALSE)</x:f>
        <x:v>0.5</x:v>
      </x:c>
      <x:c r="X42" s="17" t="n">
        <x:f>R42/S42</x:f>
        <x:v>2.3766666666666665</x:v>
      </x:c>
      <x:c r="Y42" s="17" t="n">
        <x:f>ROUNDUP(SUM(T42:X42),0)</x:f>
        <x:v>5</x:v>
      </x:c>
      <x:c r="Z42" s="17" t="n">
        <x:f>VLOOKUP(J42,Assumptions!$A$2:$H$5,8,FALSE)</x:f>
        <x:v>1.4</x:v>
      </x:c>
      <x:c r="AA42" s="17" t="n">
        <x:f>ROUNDUP(Y42*Z42,0)</x:f>
        <x:v>7</x:v>
      </x:c>
      <x:c r="AB42" s="17" t="n">
        <x:f>AA42</x:f>
        <x:v>7</x:v>
      </x:c>
      <x:c r="AC42" s="13" t="str">
        <x:v>SYNTHETIC_CALCULATED</x:v>
      </x:c>
      <x:c r="AD42" s="13" t="str">
        <x:v>GEODESIC_MODE_FACTOR_V1</x:v>
      </x:c>
      <x:c r="AE42" s="13" t="str">
        <x:v>LOW</x:v>
      </x:c>
      <x:c r="AF42" s="13" t="str">
        <x:v>DRAFT</x:v>
      </x:c>
      <x:c r="AG42" s="13" t="str">
        <x:v>https://developers.google.com/maps/documentation/routes/compute_route_matrix</x:v>
      </x:c>
      <x:c r="AH42" s="13" t="str">
        <x:v>2026-09-02</x:v>
      </x:c>
    </x:row>
    <x:row r="43">
      <x:c r="A43" s="13" t="str">
        <x:v>V150-V151-AIR</x:v>
      </x:c>
      <x:c r="B43" s="13" t="str">
        <x:v>NET-C150</x:v>
      </x:c>
      <x:c r="C43" s="13" t="str">
        <x:v>SYNTH-20260902-V1</x:v>
      </x:c>
      <x:c r="D43" s="13" t="str">
        <x:v>DSE</x:v>
      </x:c>
      <x:c r="E43" s="13" t="str">
        <x:v>C150</x:v>
      </x:c>
      <x:c r="F43" s="13" t="str">
        <x:v>V150</x:v>
      </x:c>
      <x:c r="G43" s="13" t="str">
        <x:v>V151</x:v>
      </x:c>
      <x:c r="H43" s="13" t="str">
        <x:v>이탈리아</x:v>
      </x:c>
      <x:c r="I43" s="13" t="str">
        <x:v>스페인</x:v>
      </x:c>
      <x:c r="J43" s="13" t="str">
        <x:v>AIR</x:v>
      </x:c>
      <x:c r="K43" s="13" t="n">
        <x:v>2</x:v>
      </x:c>
      <x:c r="L43" s="13" t="n">
        <x:v>45.4642</x:v>
      </x:c>
      <x:c r="M43" s="13" t="n">
        <x:v>9.19</x:v>
      </x:c>
      <x:c r="N43" s="13" t="n">
        <x:v>40.4168</x:v>
      </x:c>
      <x:c r="O43" s="13" t="n">
        <x:v>-3.7038</x:v>
      </x:c>
      <x:c r="P43" s="16" t="n">
        <x:v>1188.2</x:v>
      </x:c>
      <x:c r="Q43" s="16" t="n">
        <x:f>VLOOKUP(J43,Assumptions!$A$2:$H$5,2,FALSE)</x:f>
        <x:v>1.05</x:v>
      </x:c>
      <x:c r="R43" s="16" t="n">
        <x:f>ROUND(P43*Q43,0)</x:f>
        <x:v>1248</x:v>
      </x:c>
      <x:c r="S43" s="17" t="n">
        <x:f>VLOOKUP(J43,Assumptions!$A$2:$H$5,3,FALSE)</x:f>
        <x:v>18000</x:v>
      </x:c>
      <x:c r="T43" s="17" t="n">
        <x:f>VLOOKUP(J43,Assumptions!$A$2:$H$5,4,FALSE)</x:f>
        <x:v>1</x:v>
      </x:c>
      <x:c r="U43" s="17" t="n">
        <x:f>VLOOKUP(J43,Assumptions!$A$2:$H$5,5,FALSE)</x:f>
        <x:v>1</x:v>
      </x:c>
      <x:c r="V43" s="17" t="n">
        <x:f>VLOOKUP(J43,Assumptions!$A$2:$H$5,6,FALSE)</x:f>
        <x:v>2</x:v>
      </x:c>
      <x:c r="W43" s="17" t="n">
        <x:f>VLOOKUP(J43,Assumptions!$A$2:$H$5,7,FALSE)</x:f>
        <x:v>1</x:v>
      </x:c>
      <x:c r="X43" s="17" t="n">
        <x:f>R43/S43</x:f>
        <x:v>0.06933333333333333</x:v>
      </x:c>
      <x:c r="Y43" s="17" t="n">
        <x:f>ROUNDUP(SUM(T43:X43),0)</x:f>
        <x:v>6</x:v>
      </x:c>
      <x:c r="Z43" s="17" t="n">
        <x:f>VLOOKUP(J43,Assumptions!$A$2:$H$5,8,FALSE)</x:f>
        <x:v>1.3</x:v>
      </x:c>
      <x:c r="AA43" s="17" t="n">
        <x:f>ROUNDUP(Y43*Z43,0)</x:f>
        <x:v>8</x:v>
      </x:c>
      <x:c r="AB43" s="17" t="n">
        <x:f>AA43</x:f>
        <x:v>8</x:v>
      </x:c>
      <x:c r="AC43" s="13" t="str">
        <x:v>SYNTHETIC_CALCULATED</x:v>
      </x:c>
      <x:c r="AD43" s="13" t="str">
        <x:v>GEODESIC_MODE_FACTOR_V1</x:v>
      </x:c>
      <x:c r="AE43" s="13" t="str">
        <x:v>LOW</x:v>
      </x:c>
      <x:c r="AF43" s="13" t="str">
        <x:v>DRAFT</x:v>
      </x:c>
      <x:c r="AG43" s="13" t="str">
        <x:v>https://www.oag.com/airline-schedules-data</x:v>
      </x:c>
      <x:c r="AH43" s="13" t="str">
        <x:v>2026-09-02</x:v>
      </x:c>
    </x:row>
    <x:row r="44">
      <x:c r="A44" s="13" t="str">
        <x:v>V150-V152-SEA</x:v>
      </x:c>
      <x:c r="B44" s="13" t="str">
        <x:v>NET-C150</x:v>
      </x:c>
      <x:c r="C44" s="13" t="str">
        <x:v>SYNTH-20260902-V1</x:v>
      </x:c>
      <x:c r="D44" s="13" t="str">
        <x:v>DSE</x:v>
      </x:c>
      <x:c r="E44" s="13" t="str">
        <x:v>C150</x:v>
      </x:c>
      <x:c r="F44" s="13" t="str">
        <x:v>V150</x:v>
      </x:c>
      <x:c r="G44" s="13" t="str">
        <x:v>V152</x:v>
      </x:c>
      <x:c r="H44" s="13" t="str">
        <x:v>이탈리아</x:v>
      </x:c>
      <x:c r="I44" s="13" t="str">
        <x:v>그리스</x:v>
      </x:c>
      <x:c r="J44" s="13" t="str">
        <x:v>SEA</x:v>
      </x:c>
      <x:c r="K44" s="13" t="n">
        <x:v>1</x:v>
      </x:c>
      <x:c r="L44" s="13" t="n">
        <x:v>45.4642</x:v>
      </x:c>
      <x:c r="M44" s="13" t="n">
        <x:v>9.19</x:v>
      </x:c>
      <x:c r="N44" s="13" t="n">
        <x:v>37.9838</x:v>
      </x:c>
      <x:c r="O44" s="13" t="n">
        <x:v>23.7275</x:v>
      </x:c>
      <x:c r="P44" s="16" t="n">
        <x:v>1461.8</x:v>
      </x:c>
      <x:c r="Q44" s="16" t="n">
        <x:f>VLOOKUP(J44,Assumptions!$A$2:$H$5,2,FALSE)</x:f>
        <x:v>1.35</x:v>
      </x:c>
      <x:c r="R44" s="16" t="n">
        <x:f>ROUND(P44*Q44,0)</x:f>
        <x:v>1973</x:v>
      </x:c>
      <x:c r="S44" s="17" t="n">
        <x:f>VLOOKUP(J44,Assumptions!$A$2:$H$5,3,FALSE)</x:f>
        <x:v>600</x:v>
      </x:c>
      <x:c r="T44" s="17" t="n">
        <x:f>VLOOKUP(J44,Assumptions!$A$2:$H$5,4,FALSE)</x:f>
        <x:v>2</x:v>
      </x:c>
      <x:c r="U44" s="17" t="n">
        <x:f>VLOOKUP(J44,Assumptions!$A$2:$H$5,5,FALSE)</x:f>
        <x:v>4</x:v>
      </x:c>
      <x:c r="V44" s="17" t="n">
        <x:f>VLOOKUP(J44,Assumptions!$A$2:$H$5,6,FALSE)</x:f>
        <x:v>3</x:v>
      </x:c>
      <x:c r="W44" s="17" t="n">
        <x:f>VLOOKUP(J44,Assumptions!$A$2:$H$5,7,FALSE)</x:f>
        <x:v>2</x:v>
      </x:c>
      <x:c r="X44" s="17" t="n">
        <x:f>R44/S44</x:f>
        <x:v>3.2883333333333336</x:v>
      </x:c>
      <x:c r="Y44" s="17" t="n">
        <x:f>ROUNDUP(SUM(T44:X44),0)</x:f>
        <x:v>15</x:v>
      </x:c>
      <x:c r="Z44" s="17" t="n">
        <x:f>VLOOKUP(J44,Assumptions!$A$2:$H$5,8,FALSE)</x:f>
        <x:v>1.5</x:v>
      </x:c>
      <x:c r="AA44" s="17" t="n">
        <x:f>ROUNDUP(Y44*Z44,0)</x:f>
        <x:v>23</x:v>
      </x:c>
      <x:c r="AB44" s="17" t="n">
        <x:f>AA44</x:f>
        <x:v>23</x:v>
      </x:c>
      <x:c r="AC44" s="13" t="str">
        <x:v>SYNTHETIC_CALCULATED</x:v>
      </x:c>
      <x:c r="AD44" s="13" t="str">
        <x:v>GEODESIC_MODE_FACTOR_V1</x:v>
      </x:c>
      <x:c r="AE44" s="13" t="str">
        <x:v>LOW</x:v>
      </x:c>
      <x:c r="AF44" s="13" t="str">
        <x:v>DRAFT</x:v>
      </x:c>
      <x:c r="AG44" s="13" t="str">
        <x:v>https://developer.searoutes.com/reference/getsearoute</x:v>
      </x:c>
      <x:c r="AH44" s="13" t="str">
        <x:v>2026-09-02</x:v>
      </x:c>
    </x:row>
    <x:row r="45">
      <x:c r="A45" s="13" t="str">
        <x:v>V150-V152-AIR</x:v>
      </x:c>
      <x:c r="B45" s="13" t="str">
        <x:v>NET-C150</x:v>
      </x:c>
      <x:c r="C45" s="13" t="str">
        <x:v>SYNTH-20260902-V1</x:v>
      </x:c>
      <x:c r="D45" s="13" t="str">
        <x:v>DSE</x:v>
      </x:c>
      <x:c r="E45" s="13" t="str">
        <x:v>C150</x:v>
      </x:c>
      <x:c r="F45" s="13" t="str">
        <x:v>V150</x:v>
      </x:c>
      <x:c r="G45" s="13" t="str">
        <x:v>V152</x:v>
      </x:c>
      <x:c r="H45" s="13" t="str">
        <x:v>이탈리아</x:v>
      </x:c>
      <x:c r="I45" s="13" t="str">
        <x:v>그리스</x:v>
      </x:c>
      <x:c r="J45" s="13" t="str">
        <x:v>AIR</x:v>
      </x:c>
      <x:c r="K45" s="13" t="n">
        <x:v>2</x:v>
      </x:c>
      <x:c r="L45" s="13" t="n">
        <x:v>45.4642</x:v>
      </x:c>
      <x:c r="M45" s="13" t="n">
        <x:v>9.19</x:v>
      </x:c>
      <x:c r="N45" s="13" t="n">
        <x:v>37.9838</x:v>
      </x:c>
      <x:c r="O45" s="13" t="n">
        <x:v>23.7275</x:v>
      </x:c>
      <x:c r="P45" s="16" t="n">
        <x:v>1461.8</x:v>
      </x:c>
      <x:c r="Q45" s="16" t="n">
        <x:f>VLOOKUP(J45,Assumptions!$A$2:$H$5,2,FALSE)</x:f>
        <x:v>1.05</x:v>
      </x:c>
      <x:c r="R45" s="16" t="n">
        <x:f>ROUND(P45*Q45,0)</x:f>
        <x:v>1535</x:v>
      </x:c>
      <x:c r="S45" s="17" t="n">
        <x:f>VLOOKUP(J45,Assumptions!$A$2:$H$5,3,FALSE)</x:f>
        <x:v>18000</x:v>
      </x:c>
      <x:c r="T45" s="17" t="n">
        <x:f>VLOOKUP(J45,Assumptions!$A$2:$H$5,4,FALSE)</x:f>
        <x:v>1</x:v>
      </x:c>
      <x:c r="U45" s="17" t="n">
        <x:f>VLOOKUP(J45,Assumptions!$A$2:$H$5,5,FALSE)</x:f>
        <x:v>1</x:v>
      </x:c>
      <x:c r="V45" s="17" t="n">
        <x:f>VLOOKUP(J45,Assumptions!$A$2:$H$5,6,FALSE)</x:f>
        <x:v>2</x:v>
      </x:c>
      <x:c r="W45" s="17" t="n">
        <x:f>VLOOKUP(J45,Assumptions!$A$2:$H$5,7,FALSE)</x:f>
        <x:v>1</x:v>
      </x:c>
      <x:c r="X45" s="17" t="n">
        <x:f>R45/S45</x:f>
        <x:v>0.08527777777777777</x:v>
      </x:c>
      <x:c r="Y45" s="17" t="n">
        <x:f>ROUNDUP(SUM(T45:X45),0)</x:f>
        <x:v>6</x:v>
      </x:c>
      <x:c r="Z45" s="17" t="n">
        <x:f>VLOOKUP(J45,Assumptions!$A$2:$H$5,8,FALSE)</x:f>
        <x:v>1.3</x:v>
      </x:c>
      <x:c r="AA45" s="17" t="n">
        <x:f>ROUNDUP(Y45*Z45,0)</x:f>
        <x:v>8</x:v>
      </x:c>
      <x:c r="AB45" s="17" t="n">
        <x:f>AA45</x:f>
        <x:v>8</x:v>
      </x:c>
      <x:c r="AC45" s="13" t="str">
        <x:v>SYNTHETIC_CALCULATED</x:v>
      </x:c>
      <x:c r="AD45" s="13" t="str">
        <x:v>GEODESIC_MODE_FACTOR_V1</x:v>
      </x:c>
      <x:c r="AE45" s="13" t="str">
        <x:v>LOW</x:v>
      </x:c>
      <x:c r="AF45" s="13" t="str">
        <x:v>DRAFT</x:v>
      </x:c>
      <x:c r="AG45" s="13" t="str">
        <x:v>https://www.oag.com/airline-schedules-data</x:v>
      </x:c>
      <x:c r="AH45" s="13" t="str">
        <x:v>2026-09-02</x:v>
      </x:c>
    </x:row>
    <x:row r="46">
      <x:c r="A46" s="13" t="str">
        <x:v>V150-V153-ROAD</x:v>
      </x:c>
      <x:c r="B46" s="13" t="str">
        <x:v>NET-C150</x:v>
      </x:c>
      <x:c r="C46" s="13" t="str">
        <x:v>SYNTH-20260902-V1</x:v>
      </x:c>
      <x:c r="D46" s="13" t="str">
        <x:v>DSE</x:v>
      </x:c>
      <x:c r="E46" s="13" t="str">
        <x:v>C150</x:v>
      </x:c>
      <x:c r="F46" s="13" t="str">
        <x:v>V150</x:v>
      </x:c>
      <x:c r="G46" s="13" t="str">
        <x:v>V153</x:v>
      </x:c>
      <x:c r="H46" s="13" t="str">
        <x:v>이탈리아</x:v>
      </x:c>
      <x:c r="I46" s="13" t="str">
        <x:v>포르투갈</x:v>
      </x:c>
      <x:c r="J46" s="13" t="str">
        <x:v>ROAD</x:v>
      </x:c>
      <x:c r="K46" s="13" t="n">
        <x:v>1</x:v>
      </x:c>
      <x:c r="L46" s="13" t="n">
        <x:v>45.4642</x:v>
      </x:c>
      <x:c r="M46" s="13" t="n">
        <x:v>9.19</x:v>
      </x:c>
      <x:c r="N46" s="13" t="n">
        <x:v>38.7223</x:v>
      </x:c>
      <x:c r="O46" s="13" t="n">
        <x:v>-9.1393</x:v>
      </x:c>
      <x:c r="P46" s="16" t="n">
        <x:v>1682.7</x:v>
      </x:c>
      <x:c r="Q46" s="16" t="n">
        <x:f>VLOOKUP(J46,Assumptions!$A$2:$H$5,2,FALSE)</x:f>
        <x:v>1.2</x:v>
      </x:c>
      <x:c r="R46" s="16" t="n">
        <x:f>ROUND(P46*Q46,0)</x:f>
        <x:v>2019</x:v>
      </x:c>
      <x:c r="S46" s="17" t="n">
        <x:f>VLOOKUP(J46,Assumptions!$A$2:$H$5,3,FALSE)</x:f>
        <x:v>600</x:v>
      </x:c>
      <x:c r="T46" s="17" t="n">
        <x:f>VLOOKUP(J46,Assumptions!$A$2:$H$5,4,FALSE)</x:f>
        <x:v>0.5</x:v>
      </x:c>
      <x:c r="U46" s="17" t="n">
        <x:f>VLOOKUP(J46,Assumptions!$A$2:$H$5,5,FALSE)</x:f>
        <x:v>0.5</x:v>
      </x:c>
      <x:c r="V46" s="17" t="n">
        <x:f>VLOOKUP(J46,Assumptions!$A$2:$H$5,6,FALSE)</x:f>
        <x:v>1</x:v>
      </x:c>
      <x:c r="W46" s="17" t="n">
        <x:f>VLOOKUP(J46,Assumptions!$A$2:$H$5,7,FALSE)</x:f>
        <x:v>0.5</x:v>
      </x:c>
      <x:c r="X46" s="17" t="n">
        <x:f>R46/S46</x:f>
        <x:v>3.365</x:v>
      </x:c>
      <x:c r="Y46" s="17" t="n">
        <x:f>ROUNDUP(SUM(T46:X46),0)</x:f>
        <x:v>6</x:v>
      </x:c>
      <x:c r="Z46" s="17" t="n">
        <x:f>VLOOKUP(J46,Assumptions!$A$2:$H$5,8,FALSE)</x:f>
        <x:v>1.4</x:v>
      </x:c>
      <x:c r="AA46" s="17" t="n">
        <x:f>ROUNDUP(Y46*Z46,0)</x:f>
        <x:v>9</x:v>
      </x:c>
      <x:c r="AB46" s="17" t="n">
        <x:f>AA46</x:f>
        <x:v>9</x:v>
      </x:c>
      <x:c r="AC46" s="13" t="str">
        <x:v>SYNTHETIC_CALCULATED</x:v>
      </x:c>
      <x:c r="AD46" s="13" t="str">
        <x:v>GEODESIC_MODE_FACTOR_V1</x:v>
      </x:c>
      <x:c r="AE46" s="13" t="str">
        <x:v>LOW</x:v>
      </x:c>
      <x:c r="AF46" s="13" t="str">
        <x:v>DRAFT</x:v>
      </x:c>
      <x:c r="AG46" s="13" t="str">
        <x:v>https://developers.google.com/maps/documentation/routes/compute_route_matrix</x:v>
      </x:c>
      <x:c r="AH46" s="13" t="str">
        <x:v>2026-09-02</x:v>
      </x:c>
    </x:row>
    <x:row r="47">
      <x:c r="A47" s="13" t="str">
        <x:v>V150-V153-AIR</x:v>
      </x:c>
      <x:c r="B47" s="13" t="str">
        <x:v>NET-C150</x:v>
      </x:c>
      <x:c r="C47" s="13" t="str">
        <x:v>SYNTH-20260902-V1</x:v>
      </x:c>
      <x:c r="D47" s="13" t="str">
        <x:v>DSE</x:v>
      </x:c>
      <x:c r="E47" s="13" t="str">
        <x:v>C150</x:v>
      </x:c>
      <x:c r="F47" s="13" t="str">
        <x:v>V150</x:v>
      </x:c>
      <x:c r="G47" s="13" t="str">
        <x:v>V153</x:v>
      </x:c>
      <x:c r="H47" s="13" t="str">
        <x:v>이탈리아</x:v>
      </x:c>
      <x:c r="I47" s="13" t="str">
        <x:v>포르투갈</x:v>
      </x:c>
      <x:c r="J47" s="13" t="str">
        <x:v>AIR</x:v>
      </x:c>
      <x:c r="K47" s="13" t="n">
        <x:v>2</x:v>
      </x:c>
      <x:c r="L47" s="13" t="n">
        <x:v>45.4642</x:v>
      </x:c>
      <x:c r="M47" s="13" t="n">
        <x:v>9.19</x:v>
      </x:c>
      <x:c r="N47" s="13" t="n">
        <x:v>38.7223</x:v>
      </x:c>
      <x:c r="O47" s="13" t="n">
        <x:v>-9.1393</x:v>
      </x:c>
      <x:c r="P47" s="16" t="n">
        <x:v>1682.7</x:v>
      </x:c>
      <x:c r="Q47" s="16" t="n">
        <x:f>VLOOKUP(J47,Assumptions!$A$2:$H$5,2,FALSE)</x:f>
        <x:v>1.05</x:v>
      </x:c>
      <x:c r="R47" s="16" t="n">
        <x:f>ROUND(P47*Q47,0)</x:f>
        <x:v>1767</x:v>
      </x:c>
      <x:c r="S47" s="17" t="n">
        <x:f>VLOOKUP(J47,Assumptions!$A$2:$H$5,3,FALSE)</x:f>
        <x:v>18000</x:v>
      </x:c>
      <x:c r="T47" s="17" t="n">
        <x:f>VLOOKUP(J47,Assumptions!$A$2:$H$5,4,FALSE)</x:f>
        <x:v>1</x:v>
      </x:c>
      <x:c r="U47" s="17" t="n">
        <x:f>VLOOKUP(J47,Assumptions!$A$2:$H$5,5,FALSE)</x:f>
        <x:v>1</x:v>
      </x:c>
      <x:c r="V47" s="17" t="n">
        <x:f>VLOOKUP(J47,Assumptions!$A$2:$H$5,6,FALSE)</x:f>
        <x:v>2</x:v>
      </x:c>
      <x:c r="W47" s="17" t="n">
        <x:f>VLOOKUP(J47,Assumptions!$A$2:$H$5,7,FALSE)</x:f>
        <x:v>1</x:v>
      </x:c>
      <x:c r="X47" s="17" t="n">
        <x:f>R47/S47</x:f>
        <x:v>0.09816666666666667</x:v>
      </x:c>
      <x:c r="Y47" s="17" t="n">
        <x:f>ROUNDUP(SUM(T47:X47),0)</x:f>
        <x:v>6</x:v>
      </x:c>
      <x:c r="Z47" s="17" t="n">
        <x:f>VLOOKUP(J47,Assumptions!$A$2:$H$5,8,FALSE)</x:f>
        <x:v>1.3</x:v>
      </x:c>
      <x:c r="AA47" s="17" t="n">
        <x:f>ROUNDUP(Y47*Z47,0)</x:f>
        <x:v>8</x:v>
      </x:c>
      <x:c r="AB47" s="17" t="n">
        <x:f>AA47</x:f>
        <x:v>8</x:v>
      </x:c>
      <x:c r="AC47" s="13" t="str">
        <x:v>SYNTHETIC_CALCULATED</x:v>
      </x:c>
      <x:c r="AD47" s="13" t="str">
        <x:v>GEODESIC_MODE_FACTOR_V1</x:v>
      </x:c>
      <x:c r="AE47" s="13" t="str">
        <x:v>LOW</x:v>
      </x:c>
      <x:c r="AF47" s="13" t="str">
        <x:v>DRAFT</x:v>
      </x:c>
      <x:c r="AG47" s="13" t="str">
        <x:v>https://www.oag.com/airline-schedules-data</x:v>
      </x:c>
      <x:c r="AH47" s="13" t="str">
        <x:v>2026-09-02</x:v>
      </x:c>
    </x:row>
    <x:row r="48">
      <x:c r="A48" s="13" t="str">
        <x:v>V150-V154-MULTIMODAL</x:v>
      </x:c>
      <x:c r="B48" s="13" t="str">
        <x:v>NET-C150</x:v>
      </x:c>
      <x:c r="C48" s="13" t="str">
        <x:v>SYNTH-20260902-V1</x:v>
      </x:c>
      <x:c r="D48" s="13" t="str">
        <x:v>DSE</x:v>
      </x:c>
      <x:c r="E48" s="13" t="str">
        <x:v>C150</x:v>
      </x:c>
      <x:c r="F48" s="13" t="str">
        <x:v>V150</x:v>
      </x:c>
      <x:c r="G48" s="13" t="str">
        <x:v>V154</x:v>
      </x:c>
      <x:c r="H48" s="13" t="str">
        <x:v>이탈리아</x:v>
      </x:c>
      <x:c r="I48" s="13" t="str">
        <x:v>튀르키예</x:v>
      </x:c>
      <x:c r="J48" s="13" t="str">
        <x:v>MULTIMODAL</x:v>
      </x:c>
      <x:c r="K48" s="13" t="n">
        <x:v>1</x:v>
      </x:c>
      <x:c r="L48" s="13" t="n">
        <x:v>45.4642</x:v>
      </x:c>
      <x:c r="M48" s="13" t="n">
        <x:v>9.19</x:v>
      </x:c>
      <x:c r="N48" s="13" t="n">
        <x:v>41.0082</x:v>
      </x:c>
      <x:c r="O48" s="13" t="n">
        <x:v>28.9784</x:v>
      </x:c>
      <x:c r="P48" s="16" t="n">
        <x:v>1672.9</x:v>
      </x:c>
      <x:c r="Q48" s="16" t="n">
        <x:f>VLOOKUP(J48,Assumptions!$A$2:$H$5,2,FALSE)</x:f>
        <x:v>1.3</x:v>
      </x:c>
      <x:c r="R48" s="16" t="n">
        <x:f>ROUND(P48*Q48,0)</x:f>
        <x:v>2175</x:v>
      </x:c>
      <x:c r="S48" s="17" t="n">
        <x:f>VLOOKUP(J48,Assumptions!$A$2:$H$5,3,FALSE)</x:f>
        <x:v>500</x:v>
      </x:c>
      <x:c r="T48" s="17" t="n">
        <x:f>VLOOKUP(J48,Assumptions!$A$2:$H$5,4,FALSE)</x:f>
        <x:v>1</x:v>
      </x:c>
      <x:c r="U48" s="17" t="n">
        <x:f>VLOOKUP(J48,Assumptions!$A$2:$H$5,5,FALSE)</x:f>
        <x:v>2</x:v>
      </x:c>
      <x:c r="V48" s="17" t="n">
        <x:f>VLOOKUP(J48,Assumptions!$A$2:$H$5,6,FALSE)</x:f>
        <x:v>2</x:v>
      </x:c>
      <x:c r="W48" s="17" t="n">
        <x:f>VLOOKUP(J48,Assumptions!$A$2:$H$5,7,FALSE)</x:f>
        <x:v>1</x:v>
      </x:c>
      <x:c r="X48" s="17" t="n">
        <x:f>R48/S48</x:f>
        <x:v>4.35</x:v>
      </x:c>
      <x:c r="Y48" s="17" t="n">
        <x:f>ROUNDUP(SUM(T48:X48),0)</x:f>
        <x:v>11</x:v>
      </x:c>
      <x:c r="Z48" s="17" t="n">
        <x:f>VLOOKUP(J48,Assumptions!$A$2:$H$5,8,FALSE)</x:f>
        <x:v>1.5</x:v>
      </x:c>
      <x:c r="AA48" s="17" t="n">
        <x:f>ROUNDUP(Y48*Z48,0)</x:f>
        <x:v>17</x:v>
      </x:c>
      <x:c r="AB48" s="17" t="n">
        <x:f>AA48</x:f>
        <x:v>17</x:v>
      </x:c>
      <x:c r="AC48" s="13" t="str">
        <x:v>SYNTHETIC_CALCULATED</x:v>
      </x:c>
      <x:c r="AD48" s="13" t="str">
        <x:v>GEODESIC_MODE_FACTOR_V1</x:v>
      </x:c>
      <x:c r="AE48" s="13" t="str">
        <x:v>LOW</x:v>
      </x:c>
      <x:c r="AF48" s="13" t="str">
        <x:v>DRAFT</x:v>
      </x:c>
      <x:c r="AG48" s="13" t="str">
        <x:v>https://developers.google.com/maps/documentation/routes/compute_route_matrix</x:v>
      </x:c>
      <x:c r="AH48" s="13" t="str">
        <x:v>2026-09-02</x:v>
      </x:c>
    </x:row>
    <x:row r="49">
      <x:c r="A49" s="13" t="str">
        <x:v>V150-V154-AIR</x:v>
      </x:c>
      <x:c r="B49" s="13" t="str">
        <x:v>NET-C150</x:v>
      </x:c>
      <x:c r="C49" s="13" t="str">
        <x:v>SYNTH-20260902-V1</x:v>
      </x:c>
      <x:c r="D49" s="13" t="str">
        <x:v>DSE</x:v>
      </x:c>
      <x:c r="E49" s="13" t="str">
        <x:v>C150</x:v>
      </x:c>
      <x:c r="F49" s="13" t="str">
        <x:v>V150</x:v>
      </x:c>
      <x:c r="G49" s="13" t="str">
        <x:v>V154</x:v>
      </x:c>
      <x:c r="H49" s="13" t="str">
        <x:v>이탈리아</x:v>
      </x:c>
      <x:c r="I49" s="13" t="str">
        <x:v>튀르키예</x:v>
      </x:c>
      <x:c r="J49" s="13" t="str">
        <x:v>AIR</x:v>
      </x:c>
      <x:c r="K49" s="13" t="n">
        <x:v>2</x:v>
      </x:c>
      <x:c r="L49" s="13" t="n">
        <x:v>45.4642</x:v>
      </x:c>
      <x:c r="M49" s="13" t="n">
        <x:v>9.19</x:v>
      </x:c>
      <x:c r="N49" s="13" t="n">
        <x:v>41.0082</x:v>
      </x:c>
      <x:c r="O49" s="13" t="n">
        <x:v>28.9784</x:v>
      </x:c>
      <x:c r="P49" s="16" t="n">
        <x:v>1672.9</x:v>
      </x:c>
      <x:c r="Q49" s="16" t="n">
        <x:f>VLOOKUP(J49,Assumptions!$A$2:$H$5,2,FALSE)</x:f>
        <x:v>1.05</x:v>
      </x:c>
      <x:c r="R49" s="16" t="n">
        <x:f>ROUND(P49*Q49,0)</x:f>
        <x:v>1757</x:v>
      </x:c>
      <x:c r="S49" s="17" t="n">
        <x:f>VLOOKUP(J49,Assumptions!$A$2:$H$5,3,FALSE)</x:f>
        <x:v>18000</x:v>
      </x:c>
      <x:c r="T49" s="17" t="n">
        <x:f>VLOOKUP(J49,Assumptions!$A$2:$H$5,4,FALSE)</x:f>
        <x:v>1</x:v>
      </x:c>
      <x:c r="U49" s="17" t="n">
        <x:f>VLOOKUP(J49,Assumptions!$A$2:$H$5,5,FALSE)</x:f>
        <x:v>1</x:v>
      </x:c>
      <x:c r="V49" s="17" t="n">
        <x:f>VLOOKUP(J49,Assumptions!$A$2:$H$5,6,FALSE)</x:f>
        <x:v>2</x:v>
      </x:c>
      <x:c r="W49" s="17" t="n">
        <x:f>VLOOKUP(J49,Assumptions!$A$2:$H$5,7,FALSE)</x:f>
        <x:v>1</x:v>
      </x:c>
      <x:c r="X49" s="17" t="n">
        <x:f>R49/S49</x:f>
        <x:v>0.0976111111111111</x:v>
      </x:c>
      <x:c r="Y49" s="17" t="n">
        <x:f>ROUNDUP(SUM(T49:X49),0)</x:f>
        <x:v>6</x:v>
      </x:c>
      <x:c r="Z49" s="17" t="n">
        <x:f>VLOOKUP(J49,Assumptions!$A$2:$H$5,8,FALSE)</x:f>
        <x:v>1.3</x:v>
      </x:c>
      <x:c r="AA49" s="17" t="n">
        <x:f>ROUNDUP(Y49*Z49,0)</x:f>
        <x:v>8</x:v>
      </x:c>
      <x:c r="AB49" s="17" t="n">
        <x:f>AA49</x:f>
        <x:v>8</x:v>
      </x:c>
      <x:c r="AC49" s="13" t="str">
        <x:v>SYNTHETIC_CALCULATED</x:v>
      </x:c>
      <x:c r="AD49" s="13" t="str">
        <x:v>GEODESIC_MODE_FACTOR_V1</x:v>
      </x:c>
      <x:c r="AE49" s="13" t="str">
        <x:v>LOW</x:v>
      </x:c>
      <x:c r="AF49" s="13" t="str">
        <x:v>DRAFT</x:v>
      </x:c>
      <x:c r="AG49" s="13" t="str">
        <x:v>https://www.oag.com/airline-schedules-data</x:v>
      </x:c>
      <x:c r="AH49" s="13" t="str">
        <x:v>2026-09-02</x:v>
      </x:c>
    </x:row>
    <x:row r="50">
      <x:c r="A50" s="13" t="str">
        <x:v>V160-V161-ROAD</x:v>
      </x:c>
      <x:c r="B50" s="13" t="str">
        <x:v>NET-C160</x:v>
      </x:c>
      <x:c r="C50" s="13" t="str">
        <x:v>SYNTH-20260902-V1</x:v>
      </x:c>
      <x:c r="D50" s="13" t="str">
        <x:v>DSE</x:v>
      </x:c>
      <x:c r="E50" s="13" t="str">
        <x:v>C160</x:v>
      </x:c>
      <x:c r="F50" s="13" t="str">
        <x:v>V160</x:v>
      </x:c>
      <x:c r="G50" s="13" t="str">
        <x:v>V161</x:v>
      </x:c>
      <x:c r="H50" s="13" t="str">
        <x:v>스웨덴</x:v>
      </x:c>
      <x:c r="I50" s="13" t="str">
        <x:v>노르웨이</x:v>
      </x:c>
      <x:c r="J50" s="13" t="str">
        <x:v>ROAD</x:v>
      </x:c>
      <x:c r="K50" s="13" t="n">
        <x:v>1</x:v>
      </x:c>
      <x:c r="L50" s="13" t="n">
        <x:v>59.3293</x:v>
      </x:c>
      <x:c r="M50" s="13" t="n">
        <x:v>18.0686</x:v>
      </x:c>
      <x:c r="N50" s="13" t="n">
        <x:v>59.9139</x:v>
      </x:c>
      <x:c r="O50" s="13" t="n">
        <x:v>10.7522</x:v>
      </x:c>
      <x:c r="P50" s="16" t="n">
        <x:v>416.3</x:v>
      </x:c>
      <x:c r="Q50" s="16" t="n">
        <x:f>VLOOKUP(J50,Assumptions!$A$2:$H$5,2,FALSE)</x:f>
        <x:v>1.2</x:v>
      </x:c>
      <x:c r="R50" s="16" t="n">
        <x:f>ROUND(P50*Q50,0)</x:f>
        <x:v>500</x:v>
      </x:c>
      <x:c r="S50" s="17" t="n">
        <x:f>VLOOKUP(J50,Assumptions!$A$2:$H$5,3,FALSE)</x:f>
        <x:v>600</x:v>
      </x:c>
      <x:c r="T50" s="17" t="n">
        <x:f>VLOOKUP(J50,Assumptions!$A$2:$H$5,4,FALSE)</x:f>
        <x:v>0.5</x:v>
      </x:c>
      <x:c r="U50" s="17" t="n">
        <x:f>VLOOKUP(J50,Assumptions!$A$2:$H$5,5,FALSE)</x:f>
        <x:v>0.5</x:v>
      </x:c>
      <x:c r="V50" s="17" t="n">
        <x:f>VLOOKUP(J50,Assumptions!$A$2:$H$5,6,FALSE)</x:f>
        <x:v>1</x:v>
      </x:c>
      <x:c r="W50" s="17" t="n">
        <x:f>VLOOKUP(J50,Assumptions!$A$2:$H$5,7,FALSE)</x:f>
        <x:v>0.5</x:v>
      </x:c>
      <x:c r="X50" s="17" t="n">
        <x:f>R50/S50</x:f>
        <x:v>0.8333333333333334</x:v>
      </x:c>
      <x:c r="Y50" s="17" t="n">
        <x:f>ROUNDUP(SUM(T50:X50),0)</x:f>
        <x:v>4</x:v>
      </x:c>
      <x:c r="Z50" s="17" t="n">
        <x:f>VLOOKUP(J50,Assumptions!$A$2:$H$5,8,FALSE)</x:f>
        <x:v>1.4</x:v>
      </x:c>
      <x:c r="AA50" s="17" t="n">
        <x:f>ROUNDUP(Y50*Z50,0)</x:f>
        <x:v>6</x:v>
      </x:c>
      <x:c r="AB50" s="17" t="n">
        <x:f>AA50</x:f>
        <x:v>6</x:v>
      </x:c>
      <x:c r="AC50" s="13" t="str">
        <x:v>SYNTHETIC_CALCULATED</x:v>
      </x:c>
      <x:c r="AD50" s="13" t="str">
        <x:v>GEODESIC_MODE_FACTOR_V1</x:v>
      </x:c>
      <x:c r="AE50" s="13" t="str">
        <x:v>LOW</x:v>
      </x:c>
      <x:c r="AF50" s="13" t="str">
        <x:v>DRAFT</x:v>
      </x:c>
      <x:c r="AG50" s="13" t="str">
        <x:v>https://developers.google.com/maps/documentation/routes/compute_route_matrix</x:v>
      </x:c>
      <x:c r="AH50" s="13" t="str">
        <x:v>2026-09-02</x:v>
      </x:c>
    </x:row>
    <x:row r="51">
      <x:c r="A51" s="13" t="str">
        <x:v>V160-V161-AIR</x:v>
      </x:c>
      <x:c r="B51" s="13" t="str">
        <x:v>NET-C160</x:v>
      </x:c>
      <x:c r="C51" s="13" t="str">
        <x:v>SYNTH-20260902-V1</x:v>
      </x:c>
      <x:c r="D51" s="13" t="str">
        <x:v>DSE</x:v>
      </x:c>
      <x:c r="E51" s="13" t="str">
        <x:v>C160</x:v>
      </x:c>
      <x:c r="F51" s="13" t="str">
        <x:v>V160</x:v>
      </x:c>
      <x:c r="G51" s="13" t="str">
        <x:v>V161</x:v>
      </x:c>
      <x:c r="H51" s="13" t="str">
        <x:v>스웨덴</x:v>
      </x:c>
      <x:c r="I51" s="13" t="str">
        <x:v>노르웨이</x:v>
      </x:c>
      <x:c r="J51" s="13" t="str">
        <x:v>AIR</x:v>
      </x:c>
      <x:c r="K51" s="13" t="n">
        <x:v>2</x:v>
      </x:c>
      <x:c r="L51" s="13" t="n">
        <x:v>59.3293</x:v>
      </x:c>
      <x:c r="M51" s="13" t="n">
        <x:v>18.0686</x:v>
      </x:c>
      <x:c r="N51" s="13" t="n">
        <x:v>59.9139</x:v>
      </x:c>
      <x:c r="O51" s="13" t="n">
        <x:v>10.7522</x:v>
      </x:c>
      <x:c r="P51" s="16" t="n">
        <x:v>416.3</x:v>
      </x:c>
      <x:c r="Q51" s="16" t="n">
        <x:f>VLOOKUP(J51,Assumptions!$A$2:$H$5,2,FALSE)</x:f>
        <x:v>1.05</x:v>
      </x:c>
      <x:c r="R51" s="16" t="n">
        <x:f>ROUND(P51*Q51,0)</x:f>
        <x:v>437</x:v>
      </x:c>
      <x:c r="S51" s="17" t="n">
        <x:f>VLOOKUP(J51,Assumptions!$A$2:$H$5,3,FALSE)</x:f>
        <x:v>18000</x:v>
      </x:c>
      <x:c r="T51" s="17" t="n">
        <x:f>VLOOKUP(J51,Assumptions!$A$2:$H$5,4,FALSE)</x:f>
        <x:v>1</x:v>
      </x:c>
      <x:c r="U51" s="17" t="n">
        <x:f>VLOOKUP(J51,Assumptions!$A$2:$H$5,5,FALSE)</x:f>
        <x:v>1</x:v>
      </x:c>
      <x:c r="V51" s="17" t="n">
        <x:f>VLOOKUP(J51,Assumptions!$A$2:$H$5,6,FALSE)</x:f>
        <x:v>2</x:v>
      </x:c>
      <x:c r="W51" s="17" t="n">
        <x:f>VLOOKUP(J51,Assumptions!$A$2:$H$5,7,FALSE)</x:f>
        <x:v>1</x:v>
      </x:c>
      <x:c r="X51" s="17" t="n">
        <x:f>R51/S51</x:f>
        <x:v>0.024277777777777777</x:v>
      </x:c>
      <x:c r="Y51" s="17" t="n">
        <x:f>ROUNDUP(SUM(T51:X51),0)</x:f>
        <x:v>6</x:v>
      </x:c>
      <x:c r="Z51" s="17" t="n">
        <x:f>VLOOKUP(J51,Assumptions!$A$2:$H$5,8,FALSE)</x:f>
        <x:v>1.3</x:v>
      </x:c>
      <x:c r="AA51" s="17" t="n">
        <x:f>ROUNDUP(Y51*Z51,0)</x:f>
        <x:v>8</x:v>
      </x:c>
      <x:c r="AB51" s="17" t="n">
        <x:f>AA51</x:f>
        <x:v>8</x:v>
      </x:c>
      <x:c r="AC51" s="13" t="str">
        <x:v>SYNTHETIC_CALCULATED</x:v>
      </x:c>
      <x:c r="AD51" s="13" t="str">
        <x:v>GEODESIC_MODE_FACTOR_V1</x:v>
      </x:c>
      <x:c r="AE51" s="13" t="str">
        <x:v>LOW</x:v>
      </x:c>
      <x:c r="AF51" s="13" t="str">
        <x:v>DRAFT</x:v>
      </x:c>
      <x:c r="AG51" s="13" t="str">
        <x:v>https://www.oag.com/airline-schedules-data</x:v>
      </x:c>
      <x:c r="AH51" s="13" t="str">
        <x:v>2026-09-02</x:v>
      </x:c>
    </x:row>
    <x:row r="52">
      <x:c r="A52" s="13" t="str">
        <x:v>V160-V162-ROAD</x:v>
      </x:c>
      <x:c r="B52" s="13" t="str">
        <x:v>NET-C160</x:v>
      </x:c>
      <x:c r="C52" s="13" t="str">
        <x:v>SYNTH-20260902-V1</x:v>
      </x:c>
      <x:c r="D52" s="13" t="str">
        <x:v>DSE</x:v>
      </x:c>
      <x:c r="E52" s="13" t="str">
        <x:v>C160</x:v>
      </x:c>
      <x:c r="F52" s="13" t="str">
        <x:v>V160</x:v>
      </x:c>
      <x:c r="G52" s="13" t="str">
        <x:v>V162</x:v>
      </x:c>
      <x:c r="H52" s="13" t="str">
        <x:v>스웨덴</x:v>
      </x:c>
      <x:c r="I52" s="13" t="str">
        <x:v>덴마크</x:v>
      </x:c>
      <x:c r="J52" s="13" t="str">
        <x:v>ROAD</x:v>
      </x:c>
      <x:c r="K52" s="13" t="n">
        <x:v>1</x:v>
      </x:c>
      <x:c r="L52" s="13" t="n">
        <x:v>59.3293</x:v>
      </x:c>
      <x:c r="M52" s="13" t="n">
        <x:v>18.0686</x:v>
      </x:c>
      <x:c r="N52" s="13" t="n">
        <x:v>55.6761</x:v>
      </x:c>
      <x:c r="O52" s="13" t="n">
        <x:v>12.5683</x:v>
      </x:c>
      <x:c r="P52" s="16" t="n">
        <x:v>522.1</x:v>
      </x:c>
      <x:c r="Q52" s="16" t="n">
        <x:f>VLOOKUP(J52,Assumptions!$A$2:$H$5,2,FALSE)</x:f>
        <x:v>1.2</x:v>
      </x:c>
      <x:c r="R52" s="16" t="n">
        <x:f>ROUND(P52*Q52,0)</x:f>
        <x:v>627</x:v>
      </x:c>
      <x:c r="S52" s="17" t="n">
        <x:f>VLOOKUP(J52,Assumptions!$A$2:$H$5,3,FALSE)</x:f>
        <x:v>600</x:v>
      </x:c>
      <x:c r="T52" s="17" t="n">
        <x:f>VLOOKUP(J52,Assumptions!$A$2:$H$5,4,FALSE)</x:f>
        <x:v>0.5</x:v>
      </x:c>
      <x:c r="U52" s="17" t="n">
        <x:f>VLOOKUP(J52,Assumptions!$A$2:$H$5,5,FALSE)</x:f>
        <x:v>0.5</x:v>
      </x:c>
      <x:c r="V52" s="17" t="n">
        <x:f>VLOOKUP(J52,Assumptions!$A$2:$H$5,6,FALSE)</x:f>
        <x:v>1</x:v>
      </x:c>
      <x:c r="W52" s="17" t="n">
        <x:f>VLOOKUP(J52,Assumptions!$A$2:$H$5,7,FALSE)</x:f>
        <x:v>0.5</x:v>
      </x:c>
      <x:c r="X52" s="17" t="n">
        <x:f>R52/S52</x:f>
        <x:v>1.045</x:v>
      </x:c>
      <x:c r="Y52" s="17" t="n">
        <x:f>ROUNDUP(SUM(T52:X52),0)</x:f>
        <x:v>4</x:v>
      </x:c>
      <x:c r="Z52" s="17" t="n">
        <x:f>VLOOKUP(J52,Assumptions!$A$2:$H$5,8,FALSE)</x:f>
        <x:v>1.4</x:v>
      </x:c>
      <x:c r="AA52" s="17" t="n">
        <x:f>ROUNDUP(Y52*Z52,0)</x:f>
        <x:v>6</x:v>
      </x:c>
      <x:c r="AB52" s="17" t="n">
        <x:f>AA52</x:f>
        <x:v>6</x:v>
      </x:c>
      <x:c r="AC52" s="13" t="str">
        <x:v>SYNTHETIC_CALCULATED</x:v>
      </x:c>
      <x:c r="AD52" s="13" t="str">
        <x:v>GEODESIC_MODE_FACTOR_V1</x:v>
      </x:c>
      <x:c r="AE52" s="13" t="str">
        <x:v>LOW</x:v>
      </x:c>
      <x:c r="AF52" s="13" t="str">
        <x:v>DRAFT</x:v>
      </x:c>
      <x:c r="AG52" s="13" t="str">
        <x:v>https://developers.google.com/maps/documentation/routes/compute_route_matrix</x:v>
      </x:c>
      <x:c r="AH52" s="13" t="str">
        <x:v>2026-09-02</x:v>
      </x:c>
    </x:row>
    <x:row r="53">
      <x:c r="A53" s="13" t="str">
        <x:v>V160-V162-AIR</x:v>
      </x:c>
      <x:c r="B53" s="13" t="str">
        <x:v>NET-C160</x:v>
      </x:c>
      <x:c r="C53" s="13" t="str">
        <x:v>SYNTH-20260902-V1</x:v>
      </x:c>
      <x:c r="D53" s="13" t="str">
        <x:v>DSE</x:v>
      </x:c>
      <x:c r="E53" s="13" t="str">
        <x:v>C160</x:v>
      </x:c>
      <x:c r="F53" s="13" t="str">
        <x:v>V160</x:v>
      </x:c>
      <x:c r="G53" s="13" t="str">
        <x:v>V162</x:v>
      </x:c>
      <x:c r="H53" s="13" t="str">
        <x:v>스웨덴</x:v>
      </x:c>
      <x:c r="I53" s="13" t="str">
        <x:v>덴마크</x:v>
      </x:c>
      <x:c r="J53" s="13" t="str">
        <x:v>AIR</x:v>
      </x:c>
      <x:c r="K53" s="13" t="n">
        <x:v>2</x:v>
      </x:c>
      <x:c r="L53" s="13" t="n">
        <x:v>59.3293</x:v>
      </x:c>
      <x:c r="M53" s="13" t="n">
        <x:v>18.0686</x:v>
      </x:c>
      <x:c r="N53" s="13" t="n">
        <x:v>55.6761</x:v>
      </x:c>
      <x:c r="O53" s="13" t="n">
        <x:v>12.5683</x:v>
      </x:c>
      <x:c r="P53" s="16" t="n">
        <x:v>522.1</x:v>
      </x:c>
      <x:c r="Q53" s="16" t="n">
        <x:f>VLOOKUP(J53,Assumptions!$A$2:$H$5,2,FALSE)</x:f>
        <x:v>1.05</x:v>
      </x:c>
      <x:c r="R53" s="16" t="n">
        <x:f>ROUND(P53*Q53,0)</x:f>
        <x:v>548</x:v>
      </x:c>
      <x:c r="S53" s="17" t="n">
        <x:f>VLOOKUP(J53,Assumptions!$A$2:$H$5,3,FALSE)</x:f>
        <x:v>18000</x:v>
      </x:c>
      <x:c r="T53" s="17" t="n">
        <x:f>VLOOKUP(J53,Assumptions!$A$2:$H$5,4,FALSE)</x:f>
        <x:v>1</x:v>
      </x:c>
      <x:c r="U53" s="17" t="n">
        <x:f>VLOOKUP(J53,Assumptions!$A$2:$H$5,5,FALSE)</x:f>
        <x:v>1</x:v>
      </x:c>
      <x:c r="V53" s="17" t="n">
        <x:f>VLOOKUP(J53,Assumptions!$A$2:$H$5,6,FALSE)</x:f>
        <x:v>2</x:v>
      </x:c>
      <x:c r="W53" s="17" t="n">
        <x:f>VLOOKUP(J53,Assumptions!$A$2:$H$5,7,FALSE)</x:f>
        <x:v>1</x:v>
      </x:c>
      <x:c r="X53" s="17" t="n">
        <x:f>R53/S53</x:f>
        <x:v>0.030444444444444444</x:v>
      </x:c>
      <x:c r="Y53" s="17" t="n">
        <x:f>ROUNDUP(SUM(T53:X53),0)</x:f>
        <x:v>6</x:v>
      </x:c>
      <x:c r="Z53" s="17" t="n">
        <x:f>VLOOKUP(J53,Assumptions!$A$2:$H$5,8,FALSE)</x:f>
        <x:v>1.3</x:v>
      </x:c>
      <x:c r="AA53" s="17" t="n">
        <x:f>ROUNDUP(Y53*Z53,0)</x:f>
        <x:v>8</x:v>
      </x:c>
      <x:c r="AB53" s="17" t="n">
        <x:f>AA53</x:f>
        <x:v>8</x:v>
      </x:c>
      <x:c r="AC53" s="13" t="str">
        <x:v>SYNTHETIC_CALCULATED</x:v>
      </x:c>
      <x:c r="AD53" s="13" t="str">
        <x:v>GEODESIC_MODE_FACTOR_V1</x:v>
      </x:c>
      <x:c r="AE53" s="13" t="str">
        <x:v>LOW</x:v>
      </x:c>
      <x:c r="AF53" s="13" t="str">
        <x:v>DRAFT</x:v>
      </x:c>
      <x:c r="AG53" s="13" t="str">
        <x:v>https://www.oag.com/airline-schedules-data</x:v>
      </x:c>
      <x:c r="AH53" s="13" t="str">
        <x:v>2026-09-02</x:v>
      </x:c>
    </x:row>
    <x:row r="54">
      <x:c r="A54" s="13" t="str">
        <x:v>V160-V163-SEA</x:v>
      </x:c>
      <x:c r="B54" s="13" t="str">
        <x:v>NET-C160</x:v>
      </x:c>
      <x:c r="C54" s="13" t="str">
        <x:v>SYNTH-20260902-V1</x:v>
      </x:c>
      <x:c r="D54" s="13" t="str">
        <x:v>DSE</x:v>
      </x:c>
      <x:c r="E54" s="13" t="str">
        <x:v>C160</x:v>
      </x:c>
      <x:c r="F54" s="13" t="str">
        <x:v>V160</x:v>
      </x:c>
      <x:c r="G54" s="13" t="str">
        <x:v>V163</x:v>
      </x:c>
      <x:c r="H54" s="13" t="str">
        <x:v>스웨덴</x:v>
      </x:c>
      <x:c r="I54" s="13" t="str">
        <x:v>핀란드</x:v>
      </x:c>
      <x:c r="J54" s="13" t="str">
        <x:v>SEA</x:v>
      </x:c>
      <x:c r="K54" s="13" t="n">
        <x:v>1</x:v>
      </x:c>
      <x:c r="L54" s="13" t="n">
        <x:v>59.3293</x:v>
      </x:c>
      <x:c r="M54" s="13" t="n">
        <x:v>18.0686</x:v>
      </x:c>
      <x:c r="N54" s="13" t="n">
        <x:v>60.1699</x:v>
      </x:c>
      <x:c r="O54" s="13" t="n">
        <x:v>24.9384</x:v>
      </x:c>
      <x:c r="P54" s="16" t="n">
        <x:v>395.8</x:v>
      </x:c>
      <x:c r="Q54" s="16" t="n">
        <x:f>VLOOKUP(J54,Assumptions!$A$2:$H$5,2,FALSE)</x:f>
        <x:v>1.35</x:v>
      </x:c>
      <x:c r="R54" s="16" t="n">
        <x:f>ROUND(P54*Q54,0)</x:f>
        <x:v>534</x:v>
      </x:c>
      <x:c r="S54" s="17" t="n">
        <x:f>VLOOKUP(J54,Assumptions!$A$2:$H$5,3,FALSE)</x:f>
        <x:v>600</x:v>
      </x:c>
      <x:c r="T54" s="17" t="n">
        <x:f>VLOOKUP(J54,Assumptions!$A$2:$H$5,4,FALSE)</x:f>
        <x:v>2</x:v>
      </x:c>
      <x:c r="U54" s="17" t="n">
        <x:f>VLOOKUP(J54,Assumptions!$A$2:$H$5,5,FALSE)</x:f>
        <x:v>4</x:v>
      </x:c>
      <x:c r="V54" s="17" t="n">
        <x:f>VLOOKUP(J54,Assumptions!$A$2:$H$5,6,FALSE)</x:f>
        <x:v>3</x:v>
      </x:c>
      <x:c r="W54" s="17" t="n">
        <x:f>VLOOKUP(J54,Assumptions!$A$2:$H$5,7,FALSE)</x:f>
        <x:v>2</x:v>
      </x:c>
      <x:c r="X54" s="17" t="n">
        <x:f>R54/S54</x:f>
        <x:v>0.89</x:v>
      </x:c>
      <x:c r="Y54" s="17" t="n">
        <x:f>ROUNDUP(SUM(T54:X54),0)</x:f>
        <x:v>12</x:v>
      </x:c>
      <x:c r="Z54" s="17" t="n">
        <x:f>VLOOKUP(J54,Assumptions!$A$2:$H$5,8,FALSE)</x:f>
        <x:v>1.5</x:v>
      </x:c>
      <x:c r="AA54" s="17" t="n">
        <x:f>ROUNDUP(Y54*Z54,0)</x:f>
        <x:v>18</x:v>
      </x:c>
      <x:c r="AB54" s="17" t="n">
        <x:f>AA54</x:f>
        <x:v>18</x:v>
      </x:c>
      <x:c r="AC54" s="13" t="str">
        <x:v>SYNTHETIC_CALCULATED</x:v>
      </x:c>
      <x:c r="AD54" s="13" t="str">
        <x:v>GEODESIC_MODE_FACTOR_V1</x:v>
      </x:c>
      <x:c r="AE54" s="13" t="str">
        <x:v>LOW</x:v>
      </x:c>
      <x:c r="AF54" s="13" t="str">
        <x:v>DRAFT</x:v>
      </x:c>
      <x:c r="AG54" s="13" t="str">
        <x:v>https://developer.searoutes.com/reference/getsearoute</x:v>
      </x:c>
      <x:c r="AH54" s="13" t="str">
        <x:v>2026-09-02</x:v>
      </x:c>
    </x:row>
    <x:row r="55">
      <x:c r="A55" s="13" t="str">
        <x:v>V160-V163-AIR</x:v>
      </x:c>
      <x:c r="B55" s="13" t="str">
        <x:v>NET-C160</x:v>
      </x:c>
      <x:c r="C55" s="13" t="str">
        <x:v>SYNTH-20260902-V1</x:v>
      </x:c>
      <x:c r="D55" s="13" t="str">
        <x:v>DSE</x:v>
      </x:c>
      <x:c r="E55" s="13" t="str">
        <x:v>C160</x:v>
      </x:c>
      <x:c r="F55" s="13" t="str">
        <x:v>V160</x:v>
      </x:c>
      <x:c r="G55" s="13" t="str">
        <x:v>V163</x:v>
      </x:c>
      <x:c r="H55" s="13" t="str">
        <x:v>스웨덴</x:v>
      </x:c>
      <x:c r="I55" s="13" t="str">
        <x:v>핀란드</x:v>
      </x:c>
      <x:c r="J55" s="13" t="str">
        <x:v>AIR</x:v>
      </x:c>
      <x:c r="K55" s="13" t="n">
        <x:v>2</x:v>
      </x:c>
      <x:c r="L55" s="13" t="n">
        <x:v>59.3293</x:v>
      </x:c>
      <x:c r="M55" s="13" t="n">
        <x:v>18.0686</x:v>
      </x:c>
      <x:c r="N55" s="13" t="n">
        <x:v>60.1699</x:v>
      </x:c>
      <x:c r="O55" s="13" t="n">
        <x:v>24.9384</x:v>
      </x:c>
      <x:c r="P55" s="16" t="n">
        <x:v>395.8</x:v>
      </x:c>
      <x:c r="Q55" s="16" t="n">
        <x:f>VLOOKUP(J55,Assumptions!$A$2:$H$5,2,FALSE)</x:f>
        <x:v>1.05</x:v>
      </x:c>
      <x:c r="R55" s="16" t="n">
        <x:f>ROUND(P55*Q55,0)</x:f>
        <x:v>416</x:v>
      </x:c>
      <x:c r="S55" s="17" t="n">
        <x:f>VLOOKUP(J55,Assumptions!$A$2:$H$5,3,FALSE)</x:f>
        <x:v>18000</x:v>
      </x:c>
      <x:c r="T55" s="17" t="n">
        <x:f>VLOOKUP(J55,Assumptions!$A$2:$H$5,4,FALSE)</x:f>
        <x:v>1</x:v>
      </x:c>
      <x:c r="U55" s="17" t="n">
        <x:f>VLOOKUP(J55,Assumptions!$A$2:$H$5,5,FALSE)</x:f>
        <x:v>1</x:v>
      </x:c>
      <x:c r="V55" s="17" t="n">
        <x:f>VLOOKUP(J55,Assumptions!$A$2:$H$5,6,FALSE)</x:f>
        <x:v>2</x:v>
      </x:c>
      <x:c r="W55" s="17" t="n">
        <x:f>VLOOKUP(J55,Assumptions!$A$2:$H$5,7,FALSE)</x:f>
        <x:v>1</x:v>
      </x:c>
      <x:c r="X55" s="17" t="n">
        <x:f>R55/S55</x:f>
        <x:v>0.02311111111111111</x:v>
      </x:c>
      <x:c r="Y55" s="17" t="n">
        <x:f>ROUNDUP(SUM(T55:X55),0)</x:f>
        <x:v>6</x:v>
      </x:c>
      <x:c r="Z55" s="17" t="n">
        <x:f>VLOOKUP(J55,Assumptions!$A$2:$H$5,8,FALSE)</x:f>
        <x:v>1.3</x:v>
      </x:c>
      <x:c r="AA55" s="17" t="n">
        <x:f>ROUNDUP(Y55*Z55,0)</x:f>
        <x:v>8</x:v>
      </x:c>
      <x:c r="AB55" s="17" t="n">
        <x:f>AA55</x:f>
        <x:v>8</x:v>
      </x:c>
      <x:c r="AC55" s="13" t="str">
        <x:v>SYNTHETIC_CALCULATED</x:v>
      </x:c>
      <x:c r="AD55" s="13" t="str">
        <x:v>GEODESIC_MODE_FACTOR_V1</x:v>
      </x:c>
      <x:c r="AE55" s="13" t="str">
        <x:v>LOW</x:v>
      </x:c>
      <x:c r="AF55" s="13" t="str">
        <x:v>DRAFT</x:v>
      </x:c>
      <x:c r="AG55" s="13" t="str">
        <x:v>https://www.oag.com/airline-schedules-data</x:v>
      </x:c>
      <x:c r="AH55" s="13" t="str">
        <x:v>2026-09-02</x:v>
      </x:c>
    </x:row>
    <x:row r="56">
      <x:c r="A56" s="13" t="str">
        <x:v>V160-V164-SEA</x:v>
      </x:c>
      <x:c r="B56" s="13" t="str">
        <x:v>NET-C160</x:v>
      </x:c>
      <x:c r="C56" s="13" t="str">
        <x:v>SYNTH-20260902-V1</x:v>
      </x:c>
      <x:c r="D56" s="13" t="str">
        <x:v>DSE</x:v>
      </x:c>
      <x:c r="E56" s="13" t="str">
        <x:v>C160</x:v>
      </x:c>
      <x:c r="F56" s="13" t="str">
        <x:v>V160</x:v>
      </x:c>
      <x:c r="G56" s="13" t="str">
        <x:v>V164</x:v>
      </x:c>
      <x:c r="H56" s="13" t="str">
        <x:v>스웨덴</x:v>
      </x:c>
      <x:c r="I56" s="13" t="str">
        <x:v>아이슬란드</x:v>
      </x:c>
      <x:c r="J56" s="13" t="str">
        <x:v>SEA</x:v>
      </x:c>
      <x:c r="K56" s="13" t="n">
        <x:v>1</x:v>
      </x:c>
      <x:c r="L56" s="13" t="n">
        <x:v>59.3293</x:v>
      </x:c>
      <x:c r="M56" s="13" t="n">
        <x:v>18.0686</x:v>
      </x:c>
      <x:c r="N56" s="13" t="n">
        <x:v>64.1466</x:v>
      </x:c>
      <x:c r="O56" s="13" t="n">
        <x:v>-21.9426</x:v>
      </x:c>
      <x:c r="P56" s="16" t="n">
        <x:v>2134.5</x:v>
      </x:c>
      <x:c r="Q56" s="16" t="n">
        <x:f>VLOOKUP(J56,Assumptions!$A$2:$H$5,2,FALSE)</x:f>
        <x:v>1.35</x:v>
      </x:c>
      <x:c r="R56" s="16" t="n">
        <x:f>ROUND(P56*Q56,0)</x:f>
        <x:v>2882</x:v>
      </x:c>
      <x:c r="S56" s="17" t="n">
        <x:f>VLOOKUP(J56,Assumptions!$A$2:$H$5,3,FALSE)</x:f>
        <x:v>600</x:v>
      </x:c>
      <x:c r="T56" s="17" t="n">
        <x:f>VLOOKUP(J56,Assumptions!$A$2:$H$5,4,FALSE)</x:f>
        <x:v>2</x:v>
      </x:c>
      <x:c r="U56" s="17" t="n">
        <x:f>VLOOKUP(J56,Assumptions!$A$2:$H$5,5,FALSE)</x:f>
        <x:v>4</x:v>
      </x:c>
      <x:c r="V56" s="17" t="n">
        <x:f>VLOOKUP(J56,Assumptions!$A$2:$H$5,6,FALSE)</x:f>
        <x:v>3</x:v>
      </x:c>
      <x:c r="W56" s="17" t="n">
        <x:f>VLOOKUP(J56,Assumptions!$A$2:$H$5,7,FALSE)</x:f>
        <x:v>2</x:v>
      </x:c>
      <x:c r="X56" s="17" t="n">
        <x:f>R56/S56</x:f>
        <x:v>4.803333333333334</x:v>
      </x:c>
      <x:c r="Y56" s="17" t="n">
        <x:f>ROUNDUP(SUM(T56:X56),0)</x:f>
        <x:v>16</x:v>
      </x:c>
      <x:c r="Z56" s="17" t="n">
        <x:f>VLOOKUP(J56,Assumptions!$A$2:$H$5,8,FALSE)</x:f>
        <x:v>1.5</x:v>
      </x:c>
      <x:c r="AA56" s="17" t="n">
        <x:f>ROUNDUP(Y56*Z56,0)</x:f>
        <x:v>24</x:v>
      </x:c>
      <x:c r="AB56" s="17" t="n">
        <x:f>AA56</x:f>
        <x:v>24</x:v>
      </x:c>
      <x:c r="AC56" s="13" t="str">
        <x:v>SYNTHETIC_CALCULATED</x:v>
      </x:c>
      <x:c r="AD56" s="13" t="str">
        <x:v>GEODESIC_MODE_FACTOR_V1</x:v>
      </x:c>
      <x:c r="AE56" s="13" t="str">
        <x:v>LOW</x:v>
      </x:c>
      <x:c r="AF56" s="13" t="str">
        <x:v>DRAFT</x:v>
      </x:c>
      <x:c r="AG56" s="13" t="str">
        <x:v>https://developer.searoutes.com/reference/getsearoute</x:v>
      </x:c>
      <x:c r="AH56" s="13" t="str">
        <x:v>2026-09-02</x:v>
      </x:c>
    </x:row>
    <x:row r="57">
      <x:c r="A57" s="13" t="str">
        <x:v>V160-V164-AIR</x:v>
      </x:c>
      <x:c r="B57" s="13" t="str">
        <x:v>NET-C160</x:v>
      </x:c>
      <x:c r="C57" s="13" t="str">
        <x:v>SYNTH-20260902-V1</x:v>
      </x:c>
      <x:c r="D57" s="13" t="str">
        <x:v>DSE</x:v>
      </x:c>
      <x:c r="E57" s="13" t="str">
        <x:v>C160</x:v>
      </x:c>
      <x:c r="F57" s="13" t="str">
        <x:v>V160</x:v>
      </x:c>
      <x:c r="G57" s="13" t="str">
        <x:v>V164</x:v>
      </x:c>
      <x:c r="H57" s="13" t="str">
        <x:v>스웨덴</x:v>
      </x:c>
      <x:c r="I57" s="13" t="str">
        <x:v>아이슬란드</x:v>
      </x:c>
      <x:c r="J57" s="13" t="str">
        <x:v>AIR</x:v>
      </x:c>
      <x:c r="K57" s="13" t="n">
        <x:v>2</x:v>
      </x:c>
      <x:c r="L57" s="13" t="n">
        <x:v>59.3293</x:v>
      </x:c>
      <x:c r="M57" s="13" t="n">
        <x:v>18.0686</x:v>
      </x:c>
      <x:c r="N57" s="13" t="n">
        <x:v>64.1466</x:v>
      </x:c>
      <x:c r="O57" s="13" t="n">
        <x:v>-21.9426</x:v>
      </x:c>
      <x:c r="P57" s="16" t="n">
        <x:v>2134.5</x:v>
      </x:c>
      <x:c r="Q57" s="16" t="n">
        <x:f>VLOOKUP(J57,Assumptions!$A$2:$H$5,2,FALSE)</x:f>
        <x:v>1.05</x:v>
      </x:c>
      <x:c r="R57" s="16" t="n">
        <x:f>ROUND(P57*Q57,0)</x:f>
        <x:v>2241</x:v>
      </x:c>
      <x:c r="S57" s="17" t="n">
        <x:f>VLOOKUP(J57,Assumptions!$A$2:$H$5,3,FALSE)</x:f>
        <x:v>18000</x:v>
      </x:c>
      <x:c r="T57" s="17" t="n">
        <x:f>VLOOKUP(J57,Assumptions!$A$2:$H$5,4,FALSE)</x:f>
        <x:v>1</x:v>
      </x:c>
      <x:c r="U57" s="17" t="n">
        <x:f>VLOOKUP(J57,Assumptions!$A$2:$H$5,5,FALSE)</x:f>
        <x:v>1</x:v>
      </x:c>
      <x:c r="V57" s="17" t="n">
        <x:f>VLOOKUP(J57,Assumptions!$A$2:$H$5,6,FALSE)</x:f>
        <x:v>2</x:v>
      </x:c>
      <x:c r="W57" s="17" t="n">
        <x:f>VLOOKUP(J57,Assumptions!$A$2:$H$5,7,FALSE)</x:f>
        <x:v>1</x:v>
      </x:c>
      <x:c r="X57" s="17" t="n">
        <x:f>R57/S57</x:f>
        <x:v>0.1245</x:v>
      </x:c>
      <x:c r="Y57" s="17" t="n">
        <x:f>ROUNDUP(SUM(T57:X57),0)</x:f>
        <x:v>6</x:v>
      </x:c>
      <x:c r="Z57" s="17" t="n">
        <x:f>VLOOKUP(J57,Assumptions!$A$2:$H$5,8,FALSE)</x:f>
        <x:v>1.3</x:v>
      </x:c>
      <x:c r="AA57" s="17" t="n">
        <x:f>ROUNDUP(Y57*Z57,0)</x:f>
        <x:v>8</x:v>
      </x:c>
      <x:c r="AB57" s="17" t="n">
        <x:f>AA57</x:f>
        <x:v>8</x:v>
      </x:c>
      <x:c r="AC57" s="13" t="str">
        <x:v>SYNTHETIC_CALCULATED</x:v>
      </x:c>
      <x:c r="AD57" s="13" t="str">
        <x:v>GEODESIC_MODE_FACTOR_V1</x:v>
      </x:c>
      <x:c r="AE57" s="13" t="str">
        <x:v>LOW</x:v>
      </x:c>
      <x:c r="AF57" s="13" t="str">
        <x:v>DRAFT</x:v>
      </x:c>
      <x:c r="AG57" s="13" t="str">
        <x:v>https://www.oag.com/airline-schedules-data</x:v>
      </x:c>
      <x:c r="AH57" s="13" t="str">
        <x:v>2026-09-02</x:v>
      </x:c>
    </x:row>
    <x:row r="58">
      <x:c r="A58" s="13" t="str">
        <x:v>V170-V171-ROAD</x:v>
      </x:c>
      <x:c r="B58" s="13" t="str">
        <x:v>NET-C170</x:v>
      </x:c>
      <x:c r="C58" s="13" t="str">
        <x:v>SYNTH-20260902-V1</x:v>
      </x:c>
      <x:c r="D58" s="13" t="str">
        <x:v>DSE</x:v>
      </x:c>
      <x:c r="E58" s="13" t="str">
        <x:v>C170</x:v>
      </x:c>
      <x:c r="F58" s="13" t="str">
        <x:v>V170</x:v>
      </x:c>
      <x:c r="G58" s="13" t="str">
        <x:v>V171</x:v>
      </x:c>
      <x:c r="H58" s="13" t="str">
        <x:v>미국</x:v>
      </x:c>
      <x:c r="I58" s="13" t="str">
        <x:v>캐나다</x:v>
      </x:c>
      <x:c r="J58" s="13" t="str">
        <x:v>ROAD</x:v>
      </x:c>
      <x:c r="K58" s="13" t="n">
        <x:v>1</x:v>
      </x:c>
      <x:c r="L58" s="13" t="n">
        <x:v>40.7357</x:v>
      </x:c>
      <x:c r="M58" s="13" t="n">
        <x:v>-74.1724</x:v>
      </x:c>
      <x:c r="N58" s="13" t="n">
        <x:v>43.6532</x:v>
      </x:c>
      <x:c r="O58" s="13" t="n">
        <x:v>-79.3832</x:v>
      </x:c>
      <x:c r="P58" s="16" t="n">
        <x:v>537.9</x:v>
      </x:c>
      <x:c r="Q58" s="16" t="n">
        <x:f>VLOOKUP(J58,Assumptions!$A$2:$H$5,2,FALSE)</x:f>
        <x:v>1.2</x:v>
      </x:c>
      <x:c r="R58" s="16" t="n">
        <x:f>ROUND(P58*Q58,0)</x:f>
        <x:v>645</x:v>
      </x:c>
      <x:c r="S58" s="17" t="n">
        <x:f>VLOOKUP(J58,Assumptions!$A$2:$H$5,3,FALSE)</x:f>
        <x:v>600</x:v>
      </x:c>
      <x:c r="T58" s="17" t="n">
        <x:f>VLOOKUP(J58,Assumptions!$A$2:$H$5,4,FALSE)</x:f>
        <x:v>0.5</x:v>
      </x:c>
      <x:c r="U58" s="17" t="n">
        <x:f>VLOOKUP(J58,Assumptions!$A$2:$H$5,5,FALSE)</x:f>
        <x:v>0.5</x:v>
      </x:c>
      <x:c r="V58" s="17" t="n">
        <x:f>VLOOKUP(J58,Assumptions!$A$2:$H$5,6,FALSE)</x:f>
        <x:v>1</x:v>
      </x:c>
      <x:c r="W58" s="17" t="n">
        <x:f>VLOOKUP(J58,Assumptions!$A$2:$H$5,7,FALSE)</x:f>
        <x:v>0.5</x:v>
      </x:c>
      <x:c r="X58" s="17" t="n">
        <x:f>R58/S58</x:f>
        <x:v>1.075</x:v>
      </x:c>
      <x:c r="Y58" s="17" t="n">
        <x:f>ROUNDUP(SUM(T58:X58),0)</x:f>
        <x:v>4</x:v>
      </x:c>
      <x:c r="Z58" s="17" t="n">
        <x:f>VLOOKUP(J58,Assumptions!$A$2:$H$5,8,FALSE)</x:f>
        <x:v>1.4</x:v>
      </x:c>
      <x:c r="AA58" s="17" t="n">
        <x:f>ROUNDUP(Y58*Z58,0)</x:f>
        <x:v>6</x:v>
      </x:c>
      <x:c r="AB58" s="17" t="n">
        <x:f>AA58</x:f>
        <x:v>6</x:v>
      </x:c>
      <x:c r="AC58" s="13" t="str">
        <x:v>SYNTHETIC_CALCULATED</x:v>
      </x:c>
      <x:c r="AD58" s="13" t="str">
        <x:v>GEODESIC_MODE_FACTOR_V1</x:v>
      </x:c>
      <x:c r="AE58" s="13" t="str">
        <x:v>LOW</x:v>
      </x:c>
      <x:c r="AF58" s="13" t="str">
        <x:v>DRAFT</x:v>
      </x:c>
      <x:c r="AG58" s="13" t="str">
        <x:v>https://developers.google.com/maps/documentation/routes/compute_route_matrix</x:v>
      </x:c>
      <x:c r="AH58" s="13" t="str">
        <x:v>2026-09-02</x:v>
      </x:c>
    </x:row>
    <x:row r="59">
      <x:c r="A59" s="13" t="str">
        <x:v>V170-V171-AIR</x:v>
      </x:c>
      <x:c r="B59" s="13" t="str">
        <x:v>NET-C170</x:v>
      </x:c>
      <x:c r="C59" s="13" t="str">
        <x:v>SYNTH-20260902-V1</x:v>
      </x:c>
      <x:c r="D59" s="13" t="str">
        <x:v>DSE</x:v>
      </x:c>
      <x:c r="E59" s="13" t="str">
        <x:v>C170</x:v>
      </x:c>
      <x:c r="F59" s="13" t="str">
        <x:v>V170</x:v>
      </x:c>
      <x:c r="G59" s="13" t="str">
        <x:v>V171</x:v>
      </x:c>
      <x:c r="H59" s="13" t="str">
        <x:v>미국</x:v>
      </x:c>
      <x:c r="I59" s="13" t="str">
        <x:v>캐나다</x:v>
      </x:c>
      <x:c r="J59" s="13" t="str">
        <x:v>AIR</x:v>
      </x:c>
      <x:c r="K59" s="13" t="n">
        <x:v>2</x:v>
      </x:c>
      <x:c r="L59" s="13" t="n">
        <x:v>40.7357</x:v>
      </x:c>
      <x:c r="M59" s="13" t="n">
        <x:v>-74.1724</x:v>
      </x:c>
      <x:c r="N59" s="13" t="n">
        <x:v>43.6532</x:v>
      </x:c>
      <x:c r="O59" s="13" t="n">
        <x:v>-79.3832</x:v>
      </x:c>
      <x:c r="P59" s="16" t="n">
        <x:v>537.9</x:v>
      </x:c>
      <x:c r="Q59" s="16" t="n">
        <x:f>VLOOKUP(J59,Assumptions!$A$2:$H$5,2,FALSE)</x:f>
        <x:v>1.05</x:v>
      </x:c>
      <x:c r="R59" s="16" t="n">
        <x:f>ROUND(P59*Q59,0)</x:f>
        <x:v>565</x:v>
      </x:c>
      <x:c r="S59" s="17" t="n">
        <x:f>VLOOKUP(J59,Assumptions!$A$2:$H$5,3,FALSE)</x:f>
        <x:v>18000</x:v>
      </x:c>
      <x:c r="T59" s="17" t="n">
        <x:f>VLOOKUP(J59,Assumptions!$A$2:$H$5,4,FALSE)</x:f>
        <x:v>1</x:v>
      </x:c>
      <x:c r="U59" s="17" t="n">
        <x:f>VLOOKUP(J59,Assumptions!$A$2:$H$5,5,FALSE)</x:f>
        <x:v>1</x:v>
      </x:c>
      <x:c r="V59" s="17" t="n">
        <x:f>VLOOKUP(J59,Assumptions!$A$2:$H$5,6,FALSE)</x:f>
        <x:v>2</x:v>
      </x:c>
      <x:c r="W59" s="17" t="n">
        <x:f>VLOOKUP(J59,Assumptions!$A$2:$H$5,7,FALSE)</x:f>
        <x:v>1</x:v>
      </x:c>
      <x:c r="X59" s="17" t="n">
        <x:f>R59/S59</x:f>
        <x:v>0.03138888888888889</x:v>
      </x:c>
      <x:c r="Y59" s="17" t="n">
        <x:f>ROUNDUP(SUM(T59:X59),0)</x:f>
        <x:v>6</x:v>
      </x:c>
      <x:c r="Z59" s="17" t="n">
        <x:f>VLOOKUP(J59,Assumptions!$A$2:$H$5,8,FALSE)</x:f>
        <x:v>1.3</x:v>
      </x:c>
      <x:c r="AA59" s="17" t="n">
        <x:f>ROUNDUP(Y59*Z59,0)</x:f>
        <x:v>8</x:v>
      </x:c>
      <x:c r="AB59" s="17" t="n">
        <x:f>AA59</x:f>
        <x:v>8</x:v>
      </x:c>
      <x:c r="AC59" s="13" t="str">
        <x:v>SYNTHETIC_CALCULATED</x:v>
      </x:c>
      <x:c r="AD59" s="13" t="str">
        <x:v>GEODESIC_MODE_FACTOR_V1</x:v>
      </x:c>
      <x:c r="AE59" s="13" t="str">
        <x:v>LOW</x:v>
      </x:c>
      <x:c r="AF59" s="13" t="str">
        <x:v>DRAFT</x:v>
      </x:c>
      <x:c r="AG59" s="13" t="str">
        <x:v>https://www.oag.com/airline-schedules-data</x:v>
      </x:c>
      <x:c r="AH59" s="13" t="str">
        <x:v>2026-09-02</x:v>
      </x:c>
    </x:row>
    <x:row r="60">
      <x:c r="A60" s="13" t="str">
        <x:v>V170-V172-SEA</x:v>
      </x:c>
      <x:c r="B60" s="13" t="str">
        <x:v>NET-C170</x:v>
      </x:c>
      <x:c r="C60" s="13" t="str">
        <x:v>SYNTH-20260902-V1</x:v>
      </x:c>
      <x:c r="D60" s="13" t="str">
        <x:v>DSE</x:v>
      </x:c>
      <x:c r="E60" s="13" t="str">
        <x:v>C170</x:v>
      </x:c>
      <x:c r="F60" s="13" t="str">
        <x:v>V170</x:v>
      </x:c>
      <x:c r="G60" s="13" t="str">
        <x:v>V172</x:v>
      </x:c>
      <x:c r="H60" s="13" t="str">
        <x:v>미국</x:v>
      </x:c>
      <x:c r="I60" s="13" t="str">
        <x:v>푸에르토리코</x:v>
      </x:c>
      <x:c r="J60" s="13" t="str">
        <x:v>SEA</x:v>
      </x:c>
      <x:c r="K60" s="13" t="n">
        <x:v>1</x:v>
      </x:c>
      <x:c r="L60" s="13" t="n">
        <x:v>40.7357</x:v>
      </x:c>
      <x:c r="M60" s="13" t="n">
        <x:v>-74.1724</x:v>
      </x:c>
      <x:c r="N60" s="13" t="n">
        <x:v>18.4655</x:v>
      </x:c>
      <x:c r="O60" s="13" t="n">
        <x:v>-66.1057</x:v>
      </x:c>
      <x:c r="P60" s="16" t="n">
        <x:v>2593.3</x:v>
      </x:c>
      <x:c r="Q60" s="16" t="n">
        <x:f>VLOOKUP(J60,Assumptions!$A$2:$H$5,2,FALSE)</x:f>
        <x:v>1.35</x:v>
      </x:c>
      <x:c r="R60" s="16" t="n">
        <x:f>ROUND(P60*Q60,0)</x:f>
        <x:v>3501</x:v>
      </x:c>
      <x:c r="S60" s="17" t="n">
        <x:f>VLOOKUP(J60,Assumptions!$A$2:$H$5,3,FALSE)</x:f>
        <x:v>600</x:v>
      </x:c>
      <x:c r="T60" s="17" t="n">
        <x:f>VLOOKUP(J60,Assumptions!$A$2:$H$5,4,FALSE)</x:f>
        <x:v>2</x:v>
      </x:c>
      <x:c r="U60" s="17" t="n">
        <x:f>VLOOKUP(J60,Assumptions!$A$2:$H$5,5,FALSE)</x:f>
        <x:v>4</x:v>
      </x:c>
      <x:c r="V60" s="17" t="n">
        <x:f>VLOOKUP(J60,Assumptions!$A$2:$H$5,6,FALSE)</x:f>
        <x:v>3</x:v>
      </x:c>
      <x:c r="W60" s="17" t="n">
        <x:f>VLOOKUP(J60,Assumptions!$A$2:$H$5,7,FALSE)</x:f>
        <x:v>2</x:v>
      </x:c>
      <x:c r="X60" s="17" t="n">
        <x:f>R60/S60</x:f>
        <x:v>5.835</x:v>
      </x:c>
      <x:c r="Y60" s="17" t="n">
        <x:f>ROUNDUP(SUM(T60:X60),0)</x:f>
        <x:v>17</x:v>
      </x:c>
      <x:c r="Z60" s="17" t="n">
        <x:f>VLOOKUP(J60,Assumptions!$A$2:$H$5,8,FALSE)</x:f>
        <x:v>1.5</x:v>
      </x:c>
      <x:c r="AA60" s="17" t="n">
        <x:f>ROUNDUP(Y60*Z60,0)</x:f>
        <x:v>26</x:v>
      </x:c>
      <x:c r="AB60" s="17" t="n">
        <x:f>AA60</x:f>
        <x:v>26</x:v>
      </x:c>
      <x:c r="AC60" s="13" t="str">
        <x:v>SYNTHETIC_CALCULATED</x:v>
      </x:c>
      <x:c r="AD60" s="13" t="str">
        <x:v>GEODESIC_MODE_FACTOR_V1</x:v>
      </x:c>
      <x:c r="AE60" s="13" t="str">
        <x:v>LOW</x:v>
      </x:c>
      <x:c r="AF60" s="13" t="str">
        <x:v>DRAFT</x:v>
      </x:c>
      <x:c r="AG60" s="13" t="str">
        <x:v>https://developer.searoutes.com/reference/getsearoute</x:v>
      </x:c>
      <x:c r="AH60" s="13" t="str">
        <x:v>2026-09-02</x:v>
      </x:c>
    </x:row>
    <x:row r="61">
      <x:c r="A61" s="13" t="str">
        <x:v>V170-V172-AIR</x:v>
      </x:c>
      <x:c r="B61" s="13" t="str">
        <x:v>NET-C170</x:v>
      </x:c>
      <x:c r="C61" s="13" t="str">
        <x:v>SYNTH-20260902-V1</x:v>
      </x:c>
      <x:c r="D61" s="13" t="str">
        <x:v>DSE</x:v>
      </x:c>
      <x:c r="E61" s="13" t="str">
        <x:v>C170</x:v>
      </x:c>
      <x:c r="F61" s="13" t="str">
        <x:v>V170</x:v>
      </x:c>
      <x:c r="G61" s="13" t="str">
        <x:v>V172</x:v>
      </x:c>
      <x:c r="H61" s="13" t="str">
        <x:v>미국</x:v>
      </x:c>
      <x:c r="I61" s="13" t="str">
        <x:v>푸에르토리코</x:v>
      </x:c>
      <x:c r="J61" s="13" t="str">
        <x:v>AIR</x:v>
      </x:c>
      <x:c r="K61" s="13" t="n">
        <x:v>2</x:v>
      </x:c>
      <x:c r="L61" s="13" t="n">
        <x:v>40.7357</x:v>
      </x:c>
      <x:c r="M61" s="13" t="n">
        <x:v>-74.1724</x:v>
      </x:c>
      <x:c r="N61" s="13" t="n">
        <x:v>18.4655</x:v>
      </x:c>
      <x:c r="O61" s="13" t="n">
        <x:v>-66.1057</x:v>
      </x:c>
      <x:c r="P61" s="16" t="n">
        <x:v>2593.3</x:v>
      </x:c>
      <x:c r="Q61" s="16" t="n">
        <x:f>VLOOKUP(J61,Assumptions!$A$2:$H$5,2,FALSE)</x:f>
        <x:v>1.05</x:v>
      </x:c>
      <x:c r="R61" s="16" t="n">
        <x:f>ROUND(P61*Q61,0)</x:f>
        <x:v>2723</x:v>
      </x:c>
      <x:c r="S61" s="17" t="n">
        <x:f>VLOOKUP(J61,Assumptions!$A$2:$H$5,3,FALSE)</x:f>
        <x:v>18000</x:v>
      </x:c>
      <x:c r="T61" s="17" t="n">
        <x:f>VLOOKUP(J61,Assumptions!$A$2:$H$5,4,FALSE)</x:f>
        <x:v>1</x:v>
      </x:c>
      <x:c r="U61" s="17" t="n">
        <x:f>VLOOKUP(J61,Assumptions!$A$2:$H$5,5,FALSE)</x:f>
        <x:v>1</x:v>
      </x:c>
      <x:c r="V61" s="17" t="n">
        <x:f>VLOOKUP(J61,Assumptions!$A$2:$H$5,6,FALSE)</x:f>
        <x:v>2</x:v>
      </x:c>
      <x:c r="W61" s="17" t="n">
        <x:f>VLOOKUP(J61,Assumptions!$A$2:$H$5,7,FALSE)</x:f>
        <x:v>1</x:v>
      </x:c>
      <x:c r="X61" s="17" t="n">
        <x:f>R61/S61</x:f>
        <x:v>0.1512777777777778</x:v>
      </x:c>
      <x:c r="Y61" s="17" t="n">
        <x:f>ROUNDUP(SUM(T61:X61),0)</x:f>
        <x:v>6</x:v>
      </x:c>
      <x:c r="Z61" s="17" t="n">
        <x:f>VLOOKUP(J61,Assumptions!$A$2:$H$5,8,FALSE)</x:f>
        <x:v>1.3</x:v>
      </x:c>
      <x:c r="AA61" s="17" t="n">
        <x:f>ROUNDUP(Y61*Z61,0)</x:f>
        <x:v>8</x:v>
      </x:c>
      <x:c r="AB61" s="17" t="n">
        <x:f>AA61</x:f>
        <x:v>8</x:v>
      </x:c>
      <x:c r="AC61" s="13" t="str">
        <x:v>SYNTHETIC_CALCULATED</x:v>
      </x:c>
      <x:c r="AD61" s="13" t="str">
        <x:v>GEODESIC_MODE_FACTOR_V1</x:v>
      </x:c>
      <x:c r="AE61" s="13" t="str">
        <x:v>LOW</x:v>
      </x:c>
      <x:c r="AF61" s="13" t="str">
        <x:v>DRAFT</x:v>
      </x:c>
      <x:c r="AG61" s="13" t="str">
        <x:v>https://www.oag.com/airline-schedules-data</x:v>
      </x:c>
      <x:c r="AH61" s="13" t="str">
        <x:v>2026-09-02</x:v>
      </x:c>
    </x:row>
    <x:row r="62">
      <x:c r="A62" s="13" t="str">
        <x:v>V170-V173-SEA</x:v>
      </x:c>
      <x:c r="B62" s="13" t="str">
        <x:v>NET-C170</x:v>
      </x:c>
      <x:c r="C62" s="13" t="str">
        <x:v>SYNTH-20260902-V1</x:v>
      </x:c>
      <x:c r="D62" s="13" t="str">
        <x:v>DSE</x:v>
      </x:c>
      <x:c r="E62" s="13" t="str">
        <x:v>C170</x:v>
      </x:c>
      <x:c r="F62" s="13" t="str">
        <x:v>V170</x:v>
      </x:c>
      <x:c r="G62" s="13" t="str">
        <x:v>V173</x:v>
      </x:c>
      <x:c r="H62" s="13" t="str">
        <x:v>미국</x:v>
      </x:c>
      <x:c r="I62" s="13" t="str">
        <x:v>바하마</x:v>
      </x:c>
      <x:c r="J62" s="13" t="str">
        <x:v>SEA</x:v>
      </x:c>
      <x:c r="K62" s="13" t="n">
        <x:v>1</x:v>
      </x:c>
      <x:c r="L62" s="13" t="n">
        <x:v>40.7357</x:v>
      </x:c>
      <x:c r="M62" s="13" t="n">
        <x:v>-74.1724</x:v>
      </x:c>
      <x:c r="N62" s="13" t="n">
        <x:v>25.0443</x:v>
      </x:c>
      <x:c r="O62" s="13" t="n">
        <x:v>-77.3504</x:v>
      </x:c>
      <x:c r="P62" s="16" t="n">
        <x:v>1769.5</x:v>
      </x:c>
      <x:c r="Q62" s="16" t="n">
        <x:f>VLOOKUP(J62,Assumptions!$A$2:$H$5,2,FALSE)</x:f>
        <x:v>1.35</x:v>
      </x:c>
      <x:c r="R62" s="16" t="n">
        <x:f>ROUND(P62*Q62,0)</x:f>
        <x:v>2389</x:v>
      </x:c>
      <x:c r="S62" s="17" t="n">
        <x:f>VLOOKUP(J62,Assumptions!$A$2:$H$5,3,FALSE)</x:f>
        <x:v>600</x:v>
      </x:c>
      <x:c r="T62" s="17" t="n">
        <x:f>VLOOKUP(J62,Assumptions!$A$2:$H$5,4,FALSE)</x:f>
        <x:v>2</x:v>
      </x:c>
      <x:c r="U62" s="17" t="n">
        <x:f>VLOOKUP(J62,Assumptions!$A$2:$H$5,5,FALSE)</x:f>
        <x:v>4</x:v>
      </x:c>
      <x:c r="V62" s="17" t="n">
        <x:f>VLOOKUP(J62,Assumptions!$A$2:$H$5,6,FALSE)</x:f>
        <x:v>3</x:v>
      </x:c>
      <x:c r="W62" s="17" t="n">
        <x:f>VLOOKUP(J62,Assumptions!$A$2:$H$5,7,FALSE)</x:f>
        <x:v>2</x:v>
      </x:c>
      <x:c r="X62" s="17" t="n">
        <x:f>R62/S62</x:f>
        <x:v>3.9816666666666665</x:v>
      </x:c>
      <x:c r="Y62" s="17" t="n">
        <x:f>ROUNDUP(SUM(T62:X62),0)</x:f>
        <x:v>15</x:v>
      </x:c>
      <x:c r="Z62" s="17" t="n">
        <x:f>VLOOKUP(J62,Assumptions!$A$2:$H$5,8,FALSE)</x:f>
        <x:v>1.5</x:v>
      </x:c>
      <x:c r="AA62" s="17" t="n">
        <x:f>ROUNDUP(Y62*Z62,0)</x:f>
        <x:v>23</x:v>
      </x:c>
      <x:c r="AB62" s="17" t="n">
        <x:f>AA62</x:f>
        <x:v>23</x:v>
      </x:c>
      <x:c r="AC62" s="13" t="str">
        <x:v>SYNTHETIC_CALCULATED</x:v>
      </x:c>
      <x:c r="AD62" s="13" t="str">
        <x:v>GEODESIC_MODE_FACTOR_V1</x:v>
      </x:c>
      <x:c r="AE62" s="13" t="str">
        <x:v>LOW</x:v>
      </x:c>
      <x:c r="AF62" s="13" t="str">
        <x:v>DRAFT</x:v>
      </x:c>
      <x:c r="AG62" s="13" t="str">
        <x:v>https://developer.searoutes.com/reference/getsearoute</x:v>
      </x:c>
      <x:c r="AH62" s="13" t="str">
        <x:v>2026-09-02</x:v>
      </x:c>
    </x:row>
    <x:row r="63">
      <x:c r="A63" s="13" t="str">
        <x:v>V170-V173-AIR</x:v>
      </x:c>
      <x:c r="B63" s="13" t="str">
        <x:v>NET-C170</x:v>
      </x:c>
      <x:c r="C63" s="13" t="str">
        <x:v>SYNTH-20260902-V1</x:v>
      </x:c>
      <x:c r="D63" s="13" t="str">
        <x:v>DSE</x:v>
      </x:c>
      <x:c r="E63" s="13" t="str">
        <x:v>C170</x:v>
      </x:c>
      <x:c r="F63" s="13" t="str">
        <x:v>V170</x:v>
      </x:c>
      <x:c r="G63" s="13" t="str">
        <x:v>V173</x:v>
      </x:c>
      <x:c r="H63" s="13" t="str">
        <x:v>미국</x:v>
      </x:c>
      <x:c r="I63" s="13" t="str">
        <x:v>바하마</x:v>
      </x:c>
      <x:c r="J63" s="13" t="str">
        <x:v>AIR</x:v>
      </x:c>
      <x:c r="K63" s="13" t="n">
        <x:v>2</x:v>
      </x:c>
      <x:c r="L63" s="13" t="n">
        <x:v>40.7357</x:v>
      </x:c>
      <x:c r="M63" s="13" t="n">
        <x:v>-74.1724</x:v>
      </x:c>
      <x:c r="N63" s="13" t="n">
        <x:v>25.0443</x:v>
      </x:c>
      <x:c r="O63" s="13" t="n">
        <x:v>-77.3504</x:v>
      </x:c>
      <x:c r="P63" s="16" t="n">
        <x:v>1769.5</x:v>
      </x:c>
      <x:c r="Q63" s="16" t="n">
        <x:f>VLOOKUP(J63,Assumptions!$A$2:$H$5,2,FALSE)</x:f>
        <x:v>1.05</x:v>
      </x:c>
      <x:c r="R63" s="16" t="n">
        <x:f>ROUND(P63*Q63,0)</x:f>
        <x:v>1858</x:v>
      </x:c>
      <x:c r="S63" s="17" t="n">
        <x:f>VLOOKUP(J63,Assumptions!$A$2:$H$5,3,FALSE)</x:f>
        <x:v>18000</x:v>
      </x:c>
      <x:c r="T63" s="17" t="n">
        <x:f>VLOOKUP(J63,Assumptions!$A$2:$H$5,4,FALSE)</x:f>
        <x:v>1</x:v>
      </x:c>
      <x:c r="U63" s="17" t="n">
        <x:f>VLOOKUP(J63,Assumptions!$A$2:$H$5,5,FALSE)</x:f>
        <x:v>1</x:v>
      </x:c>
      <x:c r="V63" s="17" t="n">
        <x:f>VLOOKUP(J63,Assumptions!$A$2:$H$5,6,FALSE)</x:f>
        <x:v>2</x:v>
      </x:c>
      <x:c r="W63" s="17" t="n">
        <x:f>VLOOKUP(J63,Assumptions!$A$2:$H$5,7,FALSE)</x:f>
        <x:v>1</x:v>
      </x:c>
      <x:c r="X63" s="17" t="n">
        <x:f>R63/S63</x:f>
        <x:v>0.10322222222222223</x:v>
      </x:c>
      <x:c r="Y63" s="17" t="n">
        <x:f>ROUNDUP(SUM(T63:X63),0)</x:f>
        <x:v>6</x:v>
      </x:c>
      <x:c r="Z63" s="17" t="n">
        <x:f>VLOOKUP(J63,Assumptions!$A$2:$H$5,8,FALSE)</x:f>
        <x:v>1.3</x:v>
      </x:c>
      <x:c r="AA63" s="17" t="n">
        <x:f>ROUNDUP(Y63*Z63,0)</x:f>
        <x:v>8</x:v>
      </x:c>
      <x:c r="AB63" s="17" t="n">
        <x:f>AA63</x:f>
        <x:v>8</x:v>
      </x:c>
      <x:c r="AC63" s="13" t="str">
        <x:v>SYNTHETIC_CALCULATED</x:v>
      </x:c>
      <x:c r="AD63" s="13" t="str">
        <x:v>GEODESIC_MODE_FACTOR_V1</x:v>
      </x:c>
      <x:c r="AE63" s="13" t="str">
        <x:v>LOW</x:v>
      </x:c>
      <x:c r="AF63" s="13" t="str">
        <x:v>DRAFT</x:v>
      </x:c>
      <x:c r="AG63" s="13" t="str">
        <x:v>https://www.oag.com/airline-schedules-data</x:v>
      </x:c>
      <x:c r="AH63" s="13" t="str">
        <x:v>2026-09-02</x:v>
      </x:c>
    </x:row>
    <x:row r="64">
      <x:c r="A64" s="13" t="str">
        <x:v>V170-V174-AIR</x:v>
      </x:c>
      <x:c r="B64" s="13" t="str">
        <x:v>NET-C170</x:v>
      </x:c>
      <x:c r="C64" s="13" t="str">
        <x:v>SYNTH-20260902-V1</x:v>
      </x:c>
      <x:c r="D64" s="13" t="str">
        <x:v>DSE</x:v>
      </x:c>
      <x:c r="E64" s="13" t="str">
        <x:v>C170</x:v>
      </x:c>
      <x:c r="F64" s="13" t="str">
        <x:v>V170</x:v>
      </x:c>
      <x:c r="G64" s="13" t="str">
        <x:v>V174</x:v>
      </x:c>
      <x:c r="H64" s="13" t="str">
        <x:v>미국</x:v>
      </x:c>
      <x:c r="I64" s="13" t="str">
        <x:v>그린란드</x:v>
      </x:c>
      <x:c r="J64" s="13" t="str">
        <x:v>AIR</x:v>
      </x:c>
      <x:c r="K64" s="13" t="n">
        <x:v>1</x:v>
      </x:c>
      <x:c r="L64" s="13" t="n">
        <x:v>40.7357</x:v>
      </x:c>
      <x:c r="M64" s="13" t="n">
        <x:v>-74.1724</x:v>
      </x:c>
      <x:c r="N64" s="13" t="n">
        <x:v>64.1814</x:v>
      </x:c>
      <x:c r="O64" s="13" t="n">
        <x:v>-51.6941</x:v>
      </x:c>
      <x:c r="P64" s="16" t="n">
        <x:v>2983.1</x:v>
      </x:c>
      <x:c r="Q64" s="16" t="n">
        <x:f>VLOOKUP(J64,Assumptions!$A$2:$H$5,2,FALSE)</x:f>
        <x:v>1.05</x:v>
      </x:c>
      <x:c r="R64" s="16" t="n">
        <x:f>ROUND(P64*Q64,0)</x:f>
        <x:v>3132</x:v>
      </x:c>
      <x:c r="S64" s="17" t="n">
        <x:f>VLOOKUP(J64,Assumptions!$A$2:$H$5,3,FALSE)</x:f>
        <x:v>18000</x:v>
      </x:c>
      <x:c r="T64" s="17" t="n">
        <x:f>VLOOKUP(J64,Assumptions!$A$2:$H$5,4,FALSE)</x:f>
        <x:v>1</x:v>
      </x:c>
      <x:c r="U64" s="17" t="n">
        <x:f>VLOOKUP(J64,Assumptions!$A$2:$H$5,5,FALSE)</x:f>
        <x:v>1</x:v>
      </x:c>
      <x:c r="V64" s="17" t="n">
        <x:f>VLOOKUP(J64,Assumptions!$A$2:$H$5,6,FALSE)</x:f>
        <x:v>2</x:v>
      </x:c>
      <x:c r="W64" s="17" t="n">
        <x:f>VLOOKUP(J64,Assumptions!$A$2:$H$5,7,FALSE)</x:f>
        <x:v>1</x:v>
      </x:c>
      <x:c r="X64" s="17" t="n">
        <x:f>R64/S64</x:f>
        <x:v>0.174</x:v>
      </x:c>
      <x:c r="Y64" s="17" t="n">
        <x:f>ROUNDUP(SUM(T64:X64),0)</x:f>
        <x:v>6</x:v>
      </x:c>
      <x:c r="Z64" s="17" t="n">
        <x:f>VLOOKUP(J64,Assumptions!$A$2:$H$5,8,FALSE)</x:f>
        <x:v>1.3</x:v>
      </x:c>
      <x:c r="AA64" s="17" t="n">
        <x:f>ROUNDUP(Y64*Z64,0)</x:f>
        <x:v>8</x:v>
      </x:c>
      <x:c r="AB64" s="17" t="n">
        <x:f>AA64</x:f>
        <x:v>8</x:v>
      </x:c>
      <x:c r="AC64" s="13" t="str">
        <x:v>SYNTHETIC_CALCULATED</x:v>
      </x:c>
      <x:c r="AD64" s="13" t="str">
        <x:v>GEODESIC_MODE_FACTOR_V1</x:v>
      </x:c>
      <x:c r="AE64" s="13" t="str">
        <x:v>LOW</x:v>
      </x:c>
      <x:c r="AF64" s="13" t="str">
        <x:v>DRAFT</x:v>
      </x:c>
      <x:c r="AG64" s="13" t="str">
        <x:v>https://www.oag.com/airline-schedules-data</x:v>
      </x:c>
      <x:c r="AH64" s="13" t="str">
        <x:v>2026-09-02</x:v>
      </x:c>
    </x:row>
    <x:row r="65">
      <x:c r="A65" s="13" t="str">
        <x:v>V170-V174-SEA</x:v>
      </x:c>
      <x:c r="B65" s="13" t="str">
        <x:v>NET-C170</x:v>
      </x:c>
      <x:c r="C65" s="13" t="str">
        <x:v>SYNTH-20260902-V1</x:v>
      </x:c>
      <x:c r="D65" s="13" t="str">
        <x:v>DSE</x:v>
      </x:c>
      <x:c r="E65" s="13" t="str">
        <x:v>C170</x:v>
      </x:c>
      <x:c r="F65" s="13" t="str">
        <x:v>V170</x:v>
      </x:c>
      <x:c r="G65" s="13" t="str">
        <x:v>V174</x:v>
      </x:c>
      <x:c r="H65" s="13" t="str">
        <x:v>미국</x:v>
      </x:c>
      <x:c r="I65" s="13" t="str">
        <x:v>그린란드</x:v>
      </x:c>
      <x:c r="J65" s="13" t="str">
        <x:v>SEA</x:v>
      </x:c>
      <x:c r="K65" s="13" t="n">
        <x:v>2</x:v>
      </x:c>
      <x:c r="L65" s="13" t="n">
        <x:v>40.7357</x:v>
      </x:c>
      <x:c r="M65" s="13" t="n">
        <x:v>-74.1724</x:v>
      </x:c>
      <x:c r="N65" s="13" t="n">
        <x:v>64.1814</x:v>
      </x:c>
      <x:c r="O65" s="13" t="n">
        <x:v>-51.6941</x:v>
      </x:c>
      <x:c r="P65" s="16" t="n">
        <x:v>2983.1</x:v>
      </x:c>
      <x:c r="Q65" s="16" t="n">
        <x:f>VLOOKUP(J65,Assumptions!$A$2:$H$5,2,FALSE)</x:f>
        <x:v>1.35</x:v>
      </x:c>
      <x:c r="R65" s="16" t="n">
        <x:f>ROUND(P65*Q65,0)</x:f>
        <x:v>4027</x:v>
      </x:c>
      <x:c r="S65" s="17" t="n">
        <x:f>VLOOKUP(J65,Assumptions!$A$2:$H$5,3,FALSE)</x:f>
        <x:v>600</x:v>
      </x:c>
      <x:c r="T65" s="17" t="n">
        <x:f>VLOOKUP(J65,Assumptions!$A$2:$H$5,4,FALSE)</x:f>
        <x:v>2</x:v>
      </x:c>
      <x:c r="U65" s="17" t="n">
        <x:f>VLOOKUP(J65,Assumptions!$A$2:$H$5,5,FALSE)</x:f>
        <x:v>4</x:v>
      </x:c>
      <x:c r="V65" s="17" t="n">
        <x:f>VLOOKUP(J65,Assumptions!$A$2:$H$5,6,FALSE)</x:f>
        <x:v>3</x:v>
      </x:c>
      <x:c r="W65" s="17" t="n">
        <x:f>VLOOKUP(J65,Assumptions!$A$2:$H$5,7,FALSE)</x:f>
        <x:v>2</x:v>
      </x:c>
      <x:c r="X65" s="17" t="n">
        <x:f>R65/S65</x:f>
        <x:v>6.711666666666667</x:v>
      </x:c>
      <x:c r="Y65" s="17" t="n">
        <x:f>ROUNDUP(SUM(T65:X65),0)</x:f>
        <x:v>18</x:v>
      </x:c>
      <x:c r="Z65" s="17" t="n">
        <x:f>VLOOKUP(J65,Assumptions!$A$2:$H$5,8,FALSE)</x:f>
        <x:v>1.5</x:v>
      </x:c>
      <x:c r="AA65" s="17" t="n">
        <x:f>ROUNDUP(Y65*Z65,0)</x:f>
        <x:v>27</x:v>
      </x:c>
      <x:c r="AB65" s="17" t="n">
        <x:f>AA65</x:f>
        <x:v>27</x:v>
      </x:c>
      <x:c r="AC65" s="13" t="str">
        <x:v>SYNTHETIC_CALCULATED</x:v>
      </x:c>
      <x:c r="AD65" s="13" t="str">
        <x:v>GEODESIC_MODE_FACTOR_V1</x:v>
      </x:c>
      <x:c r="AE65" s="13" t="str">
        <x:v>LOW</x:v>
      </x:c>
      <x:c r="AF65" s="13" t="str">
        <x:v>DRAFT</x:v>
      </x:c>
      <x:c r="AG65" s="13" t="str">
        <x:v>https://developer.searoutes.com/reference/getsearoute</x:v>
      </x:c>
      <x:c r="AH65" s="13" t="str">
        <x:v>2026-09-02</x:v>
      </x:c>
    </x:row>
    <x:row r="66">
      <x:c r="A66" s="13" t="str">
        <x:v>V180-V181-ROAD</x:v>
      </x:c>
      <x:c r="B66" s="13" t="str">
        <x:v>NET-C180</x:v>
      </x:c>
      <x:c r="C66" s="13" t="str">
        <x:v>SYNTH-20260902-V1</x:v>
      </x:c>
      <x:c r="D66" s="13" t="str">
        <x:v>DSE</x:v>
      </x:c>
      <x:c r="E66" s="13" t="str">
        <x:v>C180</x:v>
      </x:c>
      <x:c r="F66" s="13" t="str">
        <x:v>V180</x:v>
      </x:c>
      <x:c r="G66" s="13" t="str">
        <x:v>V181</x:v>
      </x:c>
      <x:c r="H66" s="13" t="str">
        <x:v>멕시코</x:v>
      </x:c>
      <x:c r="I66" s="13" t="str">
        <x:v>파나마</x:v>
      </x:c>
      <x:c r="J66" s="13" t="str">
        <x:v>ROAD</x:v>
      </x:c>
      <x:c r="K66" s="13" t="n">
        <x:v>1</x:v>
      </x:c>
      <x:c r="L66" s="13" t="n">
        <x:v>19.4326</x:v>
      </x:c>
      <x:c r="M66" s="13" t="n">
        <x:v>-99.1332</x:v>
      </x:c>
      <x:c r="N66" s="13" t="n">
        <x:v>8.9824</x:v>
      </x:c>
      <x:c r="O66" s="13" t="n">
        <x:v>-79.5199</x:v>
      </x:c>
      <x:c r="P66" s="16" t="n">
        <x:v>2408.9</x:v>
      </x:c>
      <x:c r="Q66" s="16" t="n">
        <x:f>VLOOKUP(J66,Assumptions!$A$2:$H$5,2,FALSE)</x:f>
        <x:v>1.2</x:v>
      </x:c>
      <x:c r="R66" s="16" t="n">
        <x:f>ROUND(P66*Q66,0)</x:f>
        <x:v>2891</x:v>
      </x:c>
      <x:c r="S66" s="17" t="n">
        <x:f>VLOOKUP(J66,Assumptions!$A$2:$H$5,3,FALSE)</x:f>
        <x:v>600</x:v>
      </x:c>
      <x:c r="T66" s="17" t="n">
        <x:f>VLOOKUP(J66,Assumptions!$A$2:$H$5,4,FALSE)</x:f>
        <x:v>0.5</x:v>
      </x:c>
      <x:c r="U66" s="17" t="n">
        <x:f>VLOOKUP(J66,Assumptions!$A$2:$H$5,5,FALSE)</x:f>
        <x:v>0.5</x:v>
      </x:c>
      <x:c r="V66" s="17" t="n">
        <x:f>VLOOKUP(J66,Assumptions!$A$2:$H$5,6,FALSE)</x:f>
        <x:v>1</x:v>
      </x:c>
      <x:c r="W66" s="17" t="n">
        <x:f>VLOOKUP(J66,Assumptions!$A$2:$H$5,7,FALSE)</x:f>
        <x:v>0.5</x:v>
      </x:c>
      <x:c r="X66" s="17" t="n">
        <x:f>R66/S66</x:f>
        <x:v>4.818333333333333</x:v>
      </x:c>
      <x:c r="Y66" s="17" t="n">
        <x:f>ROUNDUP(SUM(T66:X66),0)</x:f>
        <x:v>8</x:v>
      </x:c>
      <x:c r="Z66" s="17" t="n">
        <x:f>VLOOKUP(J66,Assumptions!$A$2:$H$5,8,FALSE)</x:f>
        <x:v>1.4</x:v>
      </x:c>
      <x:c r="AA66" s="17" t="n">
        <x:f>ROUNDUP(Y66*Z66,0)</x:f>
        <x:v>12</x:v>
      </x:c>
      <x:c r="AB66" s="17" t="n">
        <x:f>AA66</x:f>
        <x:v>12</x:v>
      </x:c>
      <x:c r="AC66" s="13" t="str">
        <x:v>SYNTHETIC_CALCULATED</x:v>
      </x:c>
      <x:c r="AD66" s="13" t="str">
        <x:v>GEODESIC_MODE_FACTOR_V1</x:v>
      </x:c>
      <x:c r="AE66" s="13" t="str">
        <x:v>LOW</x:v>
      </x:c>
      <x:c r="AF66" s="13" t="str">
        <x:v>DRAFT</x:v>
      </x:c>
      <x:c r="AG66" s="13" t="str">
        <x:v>https://developers.google.com/maps/documentation/routes/compute_route_matrix</x:v>
      </x:c>
      <x:c r="AH66" s="13" t="str">
        <x:v>2026-09-02</x:v>
      </x:c>
    </x:row>
    <x:row r="67">
      <x:c r="A67" s="13" t="str">
        <x:v>V180-V181-AIR</x:v>
      </x:c>
      <x:c r="B67" s="13" t="str">
        <x:v>NET-C180</x:v>
      </x:c>
      <x:c r="C67" s="13" t="str">
        <x:v>SYNTH-20260902-V1</x:v>
      </x:c>
      <x:c r="D67" s="13" t="str">
        <x:v>DSE</x:v>
      </x:c>
      <x:c r="E67" s="13" t="str">
        <x:v>C180</x:v>
      </x:c>
      <x:c r="F67" s="13" t="str">
        <x:v>V180</x:v>
      </x:c>
      <x:c r="G67" s="13" t="str">
        <x:v>V181</x:v>
      </x:c>
      <x:c r="H67" s="13" t="str">
        <x:v>멕시코</x:v>
      </x:c>
      <x:c r="I67" s="13" t="str">
        <x:v>파나마</x:v>
      </x:c>
      <x:c r="J67" s="13" t="str">
        <x:v>AIR</x:v>
      </x:c>
      <x:c r="K67" s="13" t="n">
        <x:v>2</x:v>
      </x:c>
      <x:c r="L67" s="13" t="n">
        <x:v>19.4326</x:v>
      </x:c>
      <x:c r="M67" s="13" t="n">
        <x:v>-99.1332</x:v>
      </x:c>
      <x:c r="N67" s="13" t="n">
        <x:v>8.9824</x:v>
      </x:c>
      <x:c r="O67" s="13" t="n">
        <x:v>-79.5199</x:v>
      </x:c>
      <x:c r="P67" s="16" t="n">
        <x:v>2408.9</x:v>
      </x:c>
      <x:c r="Q67" s="16" t="n">
        <x:f>VLOOKUP(J67,Assumptions!$A$2:$H$5,2,FALSE)</x:f>
        <x:v>1.05</x:v>
      </x:c>
      <x:c r="R67" s="16" t="n">
        <x:f>ROUND(P67*Q67,0)</x:f>
        <x:v>2529</x:v>
      </x:c>
      <x:c r="S67" s="17" t="n">
        <x:f>VLOOKUP(J67,Assumptions!$A$2:$H$5,3,FALSE)</x:f>
        <x:v>18000</x:v>
      </x:c>
      <x:c r="T67" s="17" t="n">
        <x:f>VLOOKUP(J67,Assumptions!$A$2:$H$5,4,FALSE)</x:f>
        <x:v>1</x:v>
      </x:c>
      <x:c r="U67" s="17" t="n">
        <x:f>VLOOKUP(J67,Assumptions!$A$2:$H$5,5,FALSE)</x:f>
        <x:v>1</x:v>
      </x:c>
      <x:c r="V67" s="17" t="n">
        <x:f>VLOOKUP(J67,Assumptions!$A$2:$H$5,6,FALSE)</x:f>
        <x:v>2</x:v>
      </x:c>
      <x:c r="W67" s="17" t="n">
        <x:f>VLOOKUP(J67,Assumptions!$A$2:$H$5,7,FALSE)</x:f>
        <x:v>1</x:v>
      </x:c>
      <x:c r="X67" s="17" t="n">
        <x:f>R67/S67</x:f>
        <x:v>0.1405</x:v>
      </x:c>
      <x:c r="Y67" s="17" t="n">
        <x:f>ROUNDUP(SUM(T67:X67),0)</x:f>
        <x:v>6</x:v>
      </x:c>
      <x:c r="Z67" s="17" t="n">
        <x:f>VLOOKUP(J67,Assumptions!$A$2:$H$5,8,FALSE)</x:f>
        <x:v>1.3</x:v>
      </x:c>
      <x:c r="AA67" s="17" t="n">
        <x:f>ROUNDUP(Y67*Z67,0)</x:f>
        <x:v>8</x:v>
      </x:c>
      <x:c r="AB67" s="17" t="n">
        <x:f>AA67</x:f>
        <x:v>8</x:v>
      </x:c>
      <x:c r="AC67" s="13" t="str">
        <x:v>SYNTHETIC_CALCULATED</x:v>
      </x:c>
      <x:c r="AD67" s="13" t="str">
        <x:v>GEODESIC_MODE_FACTOR_V1</x:v>
      </x:c>
      <x:c r="AE67" s="13" t="str">
        <x:v>LOW</x:v>
      </x:c>
      <x:c r="AF67" s="13" t="str">
        <x:v>DRAFT</x:v>
      </x:c>
      <x:c r="AG67" s="13" t="str">
        <x:v>https://www.oag.com/airline-schedules-data</x:v>
      </x:c>
      <x:c r="AH67" s="13" t="str">
        <x:v>2026-09-02</x:v>
      </x:c>
    </x:row>
    <x:row r="68">
      <x:c r="A68" s="13" t="str">
        <x:v>V180-V182-ROAD</x:v>
      </x:c>
      <x:c r="B68" s="13" t="str">
        <x:v>NET-C180</x:v>
      </x:c>
      <x:c r="C68" s="13" t="str">
        <x:v>SYNTH-20260902-V1</x:v>
      </x:c>
      <x:c r="D68" s="13" t="str">
        <x:v>DSE</x:v>
      </x:c>
      <x:c r="E68" s="13" t="str">
        <x:v>C180</x:v>
      </x:c>
      <x:c r="F68" s="13" t="str">
        <x:v>V180</x:v>
      </x:c>
      <x:c r="G68" s="13" t="str">
        <x:v>V182</x:v>
      </x:c>
      <x:c r="H68" s="13" t="str">
        <x:v>멕시코</x:v>
      </x:c>
      <x:c r="I68" s="13" t="str">
        <x:v>코스타리카</x:v>
      </x:c>
      <x:c r="J68" s="13" t="str">
        <x:v>ROAD</x:v>
      </x:c>
      <x:c r="K68" s="13" t="n">
        <x:v>1</x:v>
      </x:c>
      <x:c r="L68" s="13" t="n">
        <x:v>19.4326</x:v>
      </x:c>
      <x:c r="M68" s="13" t="n">
        <x:v>-99.1332</x:v>
      </x:c>
      <x:c r="N68" s="13" t="n">
        <x:v>9.9281</x:v>
      </x:c>
      <x:c r="O68" s="13" t="n">
        <x:v>-84.0907</x:v>
      </x:c>
      <x:c r="P68" s="16" t="n">
        <x:v>1930.5</x:v>
      </x:c>
      <x:c r="Q68" s="16" t="n">
        <x:f>VLOOKUP(J68,Assumptions!$A$2:$H$5,2,FALSE)</x:f>
        <x:v>1.2</x:v>
      </x:c>
      <x:c r="R68" s="16" t="n">
        <x:f>ROUND(P68*Q68,0)</x:f>
        <x:v>2317</x:v>
      </x:c>
      <x:c r="S68" s="17" t="n">
        <x:f>VLOOKUP(J68,Assumptions!$A$2:$H$5,3,FALSE)</x:f>
        <x:v>600</x:v>
      </x:c>
      <x:c r="T68" s="17" t="n">
        <x:f>VLOOKUP(J68,Assumptions!$A$2:$H$5,4,FALSE)</x:f>
        <x:v>0.5</x:v>
      </x:c>
      <x:c r="U68" s="17" t="n">
        <x:f>VLOOKUP(J68,Assumptions!$A$2:$H$5,5,FALSE)</x:f>
        <x:v>0.5</x:v>
      </x:c>
      <x:c r="V68" s="17" t="n">
        <x:f>VLOOKUP(J68,Assumptions!$A$2:$H$5,6,FALSE)</x:f>
        <x:v>1</x:v>
      </x:c>
      <x:c r="W68" s="17" t="n">
        <x:f>VLOOKUP(J68,Assumptions!$A$2:$H$5,7,FALSE)</x:f>
        <x:v>0.5</x:v>
      </x:c>
      <x:c r="X68" s="17" t="n">
        <x:f>R68/S68</x:f>
        <x:v>3.861666666666667</x:v>
      </x:c>
      <x:c r="Y68" s="17" t="n">
        <x:f>ROUNDUP(SUM(T68:X68),0)</x:f>
        <x:v>7</x:v>
      </x:c>
      <x:c r="Z68" s="17" t="n">
        <x:f>VLOOKUP(J68,Assumptions!$A$2:$H$5,8,FALSE)</x:f>
        <x:v>1.4</x:v>
      </x:c>
      <x:c r="AA68" s="17" t="n">
        <x:f>ROUNDUP(Y68*Z68,0)</x:f>
        <x:v>10</x:v>
      </x:c>
      <x:c r="AB68" s="17" t="n">
        <x:f>AA68</x:f>
        <x:v>10</x:v>
      </x:c>
      <x:c r="AC68" s="13" t="str">
        <x:v>SYNTHETIC_CALCULATED</x:v>
      </x:c>
      <x:c r="AD68" s="13" t="str">
        <x:v>GEODESIC_MODE_FACTOR_V1</x:v>
      </x:c>
      <x:c r="AE68" s="13" t="str">
        <x:v>LOW</x:v>
      </x:c>
      <x:c r="AF68" s="13" t="str">
        <x:v>DRAFT</x:v>
      </x:c>
      <x:c r="AG68" s="13" t="str">
        <x:v>https://developers.google.com/maps/documentation/routes/compute_route_matrix</x:v>
      </x:c>
      <x:c r="AH68" s="13" t="str">
        <x:v>2026-09-02</x:v>
      </x:c>
    </x:row>
    <x:row r="69">
      <x:c r="A69" s="13" t="str">
        <x:v>V180-V182-AIR</x:v>
      </x:c>
      <x:c r="B69" s="13" t="str">
        <x:v>NET-C180</x:v>
      </x:c>
      <x:c r="C69" s="13" t="str">
        <x:v>SYNTH-20260902-V1</x:v>
      </x:c>
      <x:c r="D69" s="13" t="str">
        <x:v>DSE</x:v>
      </x:c>
      <x:c r="E69" s="13" t="str">
        <x:v>C180</x:v>
      </x:c>
      <x:c r="F69" s="13" t="str">
        <x:v>V180</x:v>
      </x:c>
      <x:c r="G69" s="13" t="str">
        <x:v>V182</x:v>
      </x:c>
      <x:c r="H69" s="13" t="str">
        <x:v>멕시코</x:v>
      </x:c>
      <x:c r="I69" s="13" t="str">
        <x:v>코스타리카</x:v>
      </x:c>
      <x:c r="J69" s="13" t="str">
        <x:v>AIR</x:v>
      </x:c>
      <x:c r="K69" s="13" t="n">
        <x:v>2</x:v>
      </x:c>
      <x:c r="L69" s="13" t="n">
        <x:v>19.4326</x:v>
      </x:c>
      <x:c r="M69" s="13" t="n">
        <x:v>-99.1332</x:v>
      </x:c>
      <x:c r="N69" s="13" t="n">
        <x:v>9.9281</x:v>
      </x:c>
      <x:c r="O69" s="13" t="n">
        <x:v>-84.0907</x:v>
      </x:c>
      <x:c r="P69" s="16" t="n">
        <x:v>1930.5</x:v>
      </x:c>
      <x:c r="Q69" s="16" t="n">
        <x:f>VLOOKUP(J69,Assumptions!$A$2:$H$5,2,FALSE)</x:f>
        <x:v>1.05</x:v>
      </x:c>
      <x:c r="R69" s="16" t="n">
        <x:f>ROUND(P69*Q69,0)</x:f>
        <x:v>2027</x:v>
      </x:c>
      <x:c r="S69" s="17" t="n">
        <x:f>VLOOKUP(J69,Assumptions!$A$2:$H$5,3,FALSE)</x:f>
        <x:v>18000</x:v>
      </x:c>
      <x:c r="T69" s="17" t="n">
        <x:f>VLOOKUP(J69,Assumptions!$A$2:$H$5,4,FALSE)</x:f>
        <x:v>1</x:v>
      </x:c>
      <x:c r="U69" s="17" t="n">
        <x:f>VLOOKUP(J69,Assumptions!$A$2:$H$5,5,FALSE)</x:f>
        <x:v>1</x:v>
      </x:c>
      <x:c r="V69" s="17" t="n">
        <x:f>VLOOKUP(J69,Assumptions!$A$2:$H$5,6,FALSE)</x:f>
        <x:v>2</x:v>
      </x:c>
      <x:c r="W69" s="17" t="n">
        <x:f>VLOOKUP(J69,Assumptions!$A$2:$H$5,7,FALSE)</x:f>
        <x:v>1</x:v>
      </x:c>
      <x:c r="X69" s="17" t="n">
        <x:f>R69/S69</x:f>
        <x:v>0.1126111111111111</x:v>
      </x:c>
      <x:c r="Y69" s="17" t="n">
        <x:f>ROUNDUP(SUM(T69:X69),0)</x:f>
        <x:v>6</x:v>
      </x:c>
      <x:c r="Z69" s="17" t="n">
        <x:f>VLOOKUP(J69,Assumptions!$A$2:$H$5,8,FALSE)</x:f>
        <x:v>1.3</x:v>
      </x:c>
      <x:c r="AA69" s="17" t="n">
        <x:f>ROUNDUP(Y69*Z69,0)</x:f>
        <x:v>8</x:v>
      </x:c>
      <x:c r="AB69" s="17" t="n">
        <x:f>AA69</x:f>
        <x:v>8</x:v>
      </x:c>
      <x:c r="AC69" s="13" t="str">
        <x:v>SYNTHETIC_CALCULATED</x:v>
      </x:c>
      <x:c r="AD69" s="13" t="str">
        <x:v>GEODESIC_MODE_FACTOR_V1</x:v>
      </x:c>
      <x:c r="AE69" s="13" t="str">
        <x:v>LOW</x:v>
      </x:c>
      <x:c r="AF69" s="13" t="str">
        <x:v>DRAFT</x:v>
      </x:c>
      <x:c r="AG69" s="13" t="str">
        <x:v>https://www.oag.com/airline-schedules-data</x:v>
      </x:c>
      <x:c r="AH69" s="13" t="str">
        <x:v>2026-09-02</x:v>
      </x:c>
    </x:row>
    <x:row r="70">
      <x:c r="A70" s="13" t="str">
        <x:v>V180-V183-ROAD</x:v>
      </x:c>
      <x:c r="B70" s="13" t="str">
        <x:v>NET-C180</x:v>
      </x:c>
      <x:c r="C70" s="13" t="str">
        <x:v>SYNTH-20260902-V1</x:v>
      </x:c>
      <x:c r="D70" s="13" t="str">
        <x:v>DSE</x:v>
      </x:c>
      <x:c r="E70" s="13" t="str">
        <x:v>C180</x:v>
      </x:c>
      <x:c r="F70" s="13" t="str">
        <x:v>V180</x:v>
      </x:c>
      <x:c r="G70" s="13" t="str">
        <x:v>V183</x:v>
      </x:c>
      <x:c r="H70" s="13" t="str">
        <x:v>멕시코</x:v>
      </x:c>
      <x:c r="I70" s="13" t="str">
        <x:v>과테말라</x:v>
      </x:c>
      <x:c r="J70" s="13" t="str">
        <x:v>ROAD</x:v>
      </x:c>
      <x:c r="K70" s="13" t="n">
        <x:v>1</x:v>
      </x:c>
      <x:c r="L70" s="13" t="n">
        <x:v>19.4326</x:v>
      </x:c>
      <x:c r="M70" s="13" t="n">
        <x:v>-99.1332</x:v>
      </x:c>
      <x:c r="N70" s="13" t="n">
        <x:v>14.6349</x:v>
      </x:c>
      <x:c r="O70" s="13" t="n">
        <x:v>-90.5069</x:v>
      </x:c>
      <x:c r="P70" s="16" t="n">
        <x:v>1060.6</x:v>
      </x:c>
      <x:c r="Q70" s="16" t="n">
        <x:f>VLOOKUP(J70,Assumptions!$A$2:$H$5,2,FALSE)</x:f>
        <x:v>1.2</x:v>
      </x:c>
      <x:c r="R70" s="16" t="n">
        <x:f>ROUND(P70*Q70,0)</x:f>
        <x:v>1273</x:v>
      </x:c>
      <x:c r="S70" s="17" t="n">
        <x:f>VLOOKUP(J70,Assumptions!$A$2:$H$5,3,FALSE)</x:f>
        <x:v>600</x:v>
      </x:c>
      <x:c r="T70" s="17" t="n">
        <x:f>VLOOKUP(J70,Assumptions!$A$2:$H$5,4,FALSE)</x:f>
        <x:v>0.5</x:v>
      </x:c>
      <x:c r="U70" s="17" t="n">
        <x:f>VLOOKUP(J70,Assumptions!$A$2:$H$5,5,FALSE)</x:f>
        <x:v>0.5</x:v>
      </x:c>
      <x:c r="V70" s="17" t="n">
        <x:f>VLOOKUP(J70,Assumptions!$A$2:$H$5,6,FALSE)</x:f>
        <x:v>1</x:v>
      </x:c>
      <x:c r="W70" s="17" t="n">
        <x:f>VLOOKUP(J70,Assumptions!$A$2:$H$5,7,FALSE)</x:f>
        <x:v>0.5</x:v>
      </x:c>
      <x:c r="X70" s="17" t="n">
        <x:f>R70/S70</x:f>
        <x:v>2.1216666666666666</x:v>
      </x:c>
      <x:c r="Y70" s="17" t="n">
        <x:f>ROUNDUP(SUM(T70:X70),0)</x:f>
        <x:v>5</x:v>
      </x:c>
      <x:c r="Z70" s="17" t="n">
        <x:f>VLOOKUP(J70,Assumptions!$A$2:$H$5,8,FALSE)</x:f>
        <x:v>1.4</x:v>
      </x:c>
      <x:c r="AA70" s="17" t="n">
        <x:f>ROUNDUP(Y70*Z70,0)</x:f>
        <x:v>7</x:v>
      </x:c>
      <x:c r="AB70" s="17" t="n">
        <x:f>AA70</x:f>
        <x:v>7</x:v>
      </x:c>
      <x:c r="AC70" s="13" t="str">
        <x:v>SYNTHETIC_CALCULATED</x:v>
      </x:c>
      <x:c r="AD70" s="13" t="str">
        <x:v>GEODESIC_MODE_FACTOR_V1</x:v>
      </x:c>
      <x:c r="AE70" s="13" t="str">
        <x:v>LOW</x:v>
      </x:c>
      <x:c r="AF70" s="13" t="str">
        <x:v>DRAFT</x:v>
      </x:c>
      <x:c r="AG70" s="13" t="str">
        <x:v>https://developers.google.com/maps/documentation/routes/compute_route_matrix</x:v>
      </x:c>
      <x:c r="AH70" s="13" t="str">
        <x:v>2026-09-02</x:v>
      </x:c>
    </x:row>
    <x:row r="71">
      <x:c r="A71" s="13" t="str">
        <x:v>V180-V183-AIR</x:v>
      </x:c>
      <x:c r="B71" s="13" t="str">
        <x:v>NET-C180</x:v>
      </x:c>
      <x:c r="C71" s="13" t="str">
        <x:v>SYNTH-20260902-V1</x:v>
      </x:c>
      <x:c r="D71" s="13" t="str">
        <x:v>DSE</x:v>
      </x:c>
      <x:c r="E71" s="13" t="str">
        <x:v>C180</x:v>
      </x:c>
      <x:c r="F71" s="13" t="str">
        <x:v>V180</x:v>
      </x:c>
      <x:c r="G71" s="13" t="str">
        <x:v>V183</x:v>
      </x:c>
      <x:c r="H71" s="13" t="str">
        <x:v>멕시코</x:v>
      </x:c>
      <x:c r="I71" s="13" t="str">
        <x:v>과테말라</x:v>
      </x:c>
      <x:c r="J71" s="13" t="str">
        <x:v>AIR</x:v>
      </x:c>
      <x:c r="K71" s="13" t="n">
        <x:v>2</x:v>
      </x:c>
      <x:c r="L71" s="13" t="n">
        <x:v>19.4326</x:v>
      </x:c>
      <x:c r="M71" s="13" t="n">
        <x:v>-99.1332</x:v>
      </x:c>
      <x:c r="N71" s="13" t="n">
        <x:v>14.6349</x:v>
      </x:c>
      <x:c r="O71" s="13" t="n">
        <x:v>-90.5069</x:v>
      </x:c>
      <x:c r="P71" s="16" t="n">
        <x:v>1060.6</x:v>
      </x:c>
      <x:c r="Q71" s="16" t="n">
        <x:f>VLOOKUP(J71,Assumptions!$A$2:$H$5,2,FALSE)</x:f>
        <x:v>1.05</x:v>
      </x:c>
      <x:c r="R71" s="16" t="n">
        <x:f>ROUND(P71*Q71,0)</x:f>
        <x:v>1114</x:v>
      </x:c>
      <x:c r="S71" s="17" t="n">
        <x:f>VLOOKUP(J71,Assumptions!$A$2:$H$5,3,FALSE)</x:f>
        <x:v>18000</x:v>
      </x:c>
      <x:c r="T71" s="17" t="n">
        <x:f>VLOOKUP(J71,Assumptions!$A$2:$H$5,4,FALSE)</x:f>
        <x:v>1</x:v>
      </x:c>
      <x:c r="U71" s="17" t="n">
        <x:f>VLOOKUP(J71,Assumptions!$A$2:$H$5,5,FALSE)</x:f>
        <x:v>1</x:v>
      </x:c>
      <x:c r="V71" s="17" t="n">
        <x:f>VLOOKUP(J71,Assumptions!$A$2:$H$5,6,FALSE)</x:f>
        <x:v>2</x:v>
      </x:c>
      <x:c r="W71" s="17" t="n">
        <x:f>VLOOKUP(J71,Assumptions!$A$2:$H$5,7,FALSE)</x:f>
        <x:v>1</x:v>
      </x:c>
      <x:c r="X71" s="17" t="n">
        <x:f>R71/S71</x:f>
        <x:v>0.06188888888888889</x:v>
      </x:c>
      <x:c r="Y71" s="17" t="n">
        <x:f>ROUNDUP(SUM(T71:X71),0)</x:f>
        <x:v>6</x:v>
      </x:c>
      <x:c r="Z71" s="17" t="n">
        <x:f>VLOOKUP(J71,Assumptions!$A$2:$H$5,8,FALSE)</x:f>
        <x:v>1.3</x:v>
      </x:c>
      <x:c r="AA71" s="17" t="n">
        <x:f>ROUNDUP(Y71*Z71,0)</x:f>
        <x:v>8</x:v>
      </x:c>
      <x:c r="AB71" s="17" t="n">
        <x:f>AA71</x:f>
        <x:v>8</x:v>
      </x:c>
      <x:c r="AC71" s="13" t="str">
        <x:v>SYNTHETIC_CALCULATED</x:v>
      </x:c>
      <x:c r="AD71" s="13" t="str">
        <x:v>GEODESIC_MODE_FACTOR_V1</x:v>
      </x:c>
      <x:c r="AE71" s="13" t="str">
        <x:v>LOW</x:v>
      </x:c>
      <x:c r="AF71" s="13" t="str">
        <x:v>DRAFT</x:v>
      </x:c>
      <x:c r="AG71" s="13" t="str">
        <x:v>https://www.oag.com/airline-schedules-data</x:v>
      </x:c>
      <x:c r="AH71" s="13" t="str">
        <x:v>2026-09-02</x:v>
      </x:c>
    </x:row>
    <x:row r="72">
      <x:c r="A72" s="13" t="str">
        <x:v>V180-V184-SEA</x:v>
      </x:c>
      <x:c r="B72" s="13" t="str">
        <x:v>NET-C180</x:v>
      </x:c>
      <x:c r="C72" s="13" t="str">
        <x:v>SYNTH-20260902-V1</x:v>
      </x:c>
      <x:c r="D72" s="13" t="str">
        <x:v>DSE</x:v>
      </x:c>
      <x:c r="E72" s="13" t="str">
        <x:v>C180</x:v>
      </x:c>
      <x:c r="F72" s="13" t="str">
        <x:v>V180</x:v>
      </x:c>
      <x:c r="G72" s="13" t="str">
        <x:v>V184</x:v>
      </x:c>
      <x:c r="H72" s="13" t="str">
        <x:v>멕시코</x:v>
      </x:c>
      <x:c r="I72" s="13" t="str">
        <x:v>도미니카(공)</x:v>
      </x:c>
      <x:c r="J72" s="13" t="str">
        <x:v>SEA</x:v>
      </x:c>
      <x:c r="K72" s="13" t="n">
        <x:v>1</x:v>
      </x:c>
      <x:c r="L72" s="13" t="n">
        <x:v>19.4326</x:v>
      </x:c>
      <x:c r="M72" s="13" t="n">
        <x:v>-99.1332</x:v>
      </x:c>
      <x:c r="N72" s="13" t="n">
        <x:v>18.4861</x:v>
      </x:c>
      <x:c r="O72" s="13" t="n">
        <x:v>-69.9312</x:v>
      </x:c>
      <x:c r="P72" s="16" t="n">
        <x:v>3069.1</x:v>
      </x:c>
      <x:c r="Q72" s="16" t="n">
        <x:f>VLOOKUP(J72,Assumptions!$A$2:$H$5,2,FALSE)</x:f>
        <x:v>1.35</x:v>
      </x:c>
      <x:c r="R72" s="16" t="n">
        <x:f>ROUND(P72*Q72,0)</x:f>
        <x:v>4143</x:v>
      </x:c>
      <x:c r="S72" s="17" t="n">
        <x:f>VLOOKUP(J72,Assumptions!$A$2:$H$5,3,FALSE)</x:f>
        <x:v>600</x:v>
      </x:c>
      <x:c r="T72" s="17" t="n">
        <x:f>VLOOKUP(J72,Assumptions!$A$2:$H$5,4,FALSE)</x:f>
        <x:v>2</x:v>
      </x:c>
      <x:c r="U72" s="17" t="n">
        <x:f>VLOOKUP(J72,Assumptions!$A$2:$H$5,5,FALSE)</x:f>
        <x:v>4</x:v>
      </x:c>
      <x:c r="V72" s="17" t="n">
        <x:f>VLOOKUP(J72,Assumptions!$A$2:$H$5,6,FALSE)</x:f>
        <x:v>3</x:v>
      </x:c>
      <x:c r="W72" s="17" t="n">
        <x:f>VLOOKUP(J72,Assumptions!$A$2:$H$5,7,FALSE)</x:f>
        <x:v>2</x:v>
      </x:c>
      <x:c r="X72" s="17" t="n">
        <x:f>R72/S72</x:f>
        <x:v>6.905</x:v>
      </x:c>
      <x:c r="Y72" s="17" t="n">
        <x:f>ROUNDUP(SUM(T72:X72),0)</x:f>
        <x:v>18</x:v>
      </x:c>
      <x:c r="Z72" s="17" t="n">
        <x:f>VLOOKUP(J72,Assumptions!$A$2:$H$5,8,FALSE)</x:f>
        <x:v>1.5</x:v>
      </x:c>
      <x:c r="AA72" s="17" t="n">
        <x:f>ROUNDUP(Y72*Z72,0)</x:f>
        <x:v>27</x:v>
      </x:c>
      <x:c r="AB72" s="17" t="n">
        <x:f>AA72</x:f>
        <x:v>27</x:v>
      </x:c>
      <x:c r="AC72" s="13" t="str">
        <x:v>SYNTHETIC_CALCULATED</x:v>
      </x:c>
      <x:c r="AD72" s="13" t="str">
        <x:v>GEODESIC_MODE_FACTOR_V1</x:v>
      </x:c>
      <x:c r="AE72" s="13" t="str">
        <x:v>LOW</x:v>
      </x:c>
      <x:c r="AF72" s="13" t="str">
        <x:v>DRAFT</x:v>
      </x:c>
      <x:c r="AG72" s="13" t="str">
        <x:v>https://developer.searoutes.com/reference/getsearoute</x:v>
      </x:c>
      <x:c r="AH72" s="13" t="str">
        <x:v>2026-09-02</x:v>
      </x:c>
    </x:row>
    <x:row r="73">
      <x:c r="A73" s="13" t="str">
        <x:v>V180-V184-AIR</x:v>
      </x:c>
      <x:c r="B73" s="13" t="str">
        <x:v>NET-C180</x:v>
      </x:c>
      <x:c r="C73" s="13" t="str">
        <x:v>SYNTH-20260902-V1</x:v>
      </x:c>
      <x:c r="D73" s="13" t="str">
        <x:v>DSE</x:v>
      </x:c>
      <x:c r="E73" s="13" t="str">
        <x:v>C180</x:v>
      </x:c>
      <x:c r="F73" s="13" t="str">
        <x:v>V180</x:v>
      </x:c>
      <x:c r="G73" s="13" t="str">
        <x:v>V184</x:v>
      </x:c>
      <x:c r="H73" s="13" t="str">
        <x:v>멕시코</x:v>
      </x:c>
      <x:c r="I73" s="13" t="str">
        <x:v>도미니카(공)</x:v>
      </x:c>
      <x:c r="J73" s="13" t="str">
        <x:v>AIR</x:v>
      </x:c>
      <x:c r="K73" s="13" t="n">
        <x:v>2</x:v>
      </x:c>
      <x:c r="L73" s="13" t="n">
        <x:v>19.4326</x:v>
      </x:c>
      <x:c r="M73" s="13" t="n">
        <x:v>-99.1332</x:v>
      </x:c>
      <x:c r="N73" s="13" t="n">
        <x:v>18.4861</x:v>
      </x:c>
      <x:c r="O73" s="13" t="n">
        <x:v>-69.9312</x:v>
      </x:c>
      <x:c r="P73" s="16" t="n">
        <x:v>3069.1</x:v>
      </x:c>
      <x:c r="Q73" s="16" t="n">
        <x:f>VLOOKUP(J73,Assumptions!$A$2:$H$5,2,FALSE)</x:f>
        <x:v>1.05</x:v>
      </x:c>
      <x:c r="R73" s="16" t="n">
        <x:f>ROUND(P73*Q73,0)</x:f>
        <x:v>3223</x:v>
      </x:c>
      <x:c r="S73" s="17" t="n">
        <x:f>VLOOKUP(J73,Assumptions!$A$2:$H$5,3,FALSE)</x:f>
        <x:v>18000</x:v>
      </x:c>
      <x:c r="T73" s="17" t="n">
        <x:f>VLOOKUP(J73,Assumptions!$A$2:$H$5,4,FALSE)</x:f>
        <x:v>1</x:v>
      </x:c>
      <x:c r="U73" s="17" t="n">
        <x:f>VLOOKUP(J73,Assumptions!$A$2:$H$5,5,FALSE)</x:f>
        <x:v>1</x:v>
      </x:c>
      <x:c r="V73" s="17" t="n">
        <x:f>VLOOKUP(J73,Assumptions!$A$2:$H$5,6,FALSE)</x:f>
        <x:v>2</x:v>
      </x:c>
      <x:c r="W73" s="17" t="n">
        <x:f>VLOOKUP(J73,Assumptions!$A$2:$H$5,7,FALSE)</x:f>
        <x:v>1</x:v>
      </x:c>
      <x:c r="X73" s="17" t="n">
        <x:f>R73/S73</x:f>
        <x:v>0.17905555555555555</x:v>
      </x:c>
      <x:c r="Y73" s="17" t="n">
        <x:f>ROUNDUP(SUM(T73:X73),0)</x:f>
        <x:v>6</x:v>
      </x:c>
      <x:c r="Z73" s="17" t="n">
        <x:f>VLOOKUP(J73,Assumptions!$A$2:$H$5,8,FALSE)</x:f>
        <x:v>1.3</x:v>
      </x:c>
      <x:c r="AA73" s="17" t="n">
        <x:f>ROUNDUP(Y73*Z73,0)</x:f>
        <x:v>8</x:v>
      </x:c>
      <x:c r="AB73" s="17" t="n">
        <x:f>AA73</x:f>
        <x:v>8</x:v>
      </x:c>
      <x:c r="AC73" s="13" t="str">
        <x:v>SYNTHETIC_CALCULATED</x:v>
      </x:c>
      <x:c r="AD73" s="13" t="str">
        <x:v>GEODESIC_MODE_FACTOR_V1</x:v>
      </x:c>
      <x:c r="AE73" s="13" t="str">
        <x:v>LOW</x:v>
      </x:c>
      <x:c r="AF73" s="13" t="str">
        <x:v>DRAFT</x:v>
      </x:c>
      <x:c r="AG73" s="13" t="str">
        <x:v>https://www.oag.com/airline-schedules-data</x:v>
      </x:c>
      <x:c r="AH73" s="13" t="str">
        <x:v>2026-09-02</x:v>
      </x:c>
    </x:row>
    <x:row r="74">
      <x:c r="A74" s="13" t="str">
        <x:v>V190-V191-ROAD</x:v>
      </x:c>
      <x:c r="B74" s="13" t="str">
        <x:v>NET-C190</x:v>
      </x:c>
      <x:c r="C74" s="13" t="str">
        <x:v>SYNTH-20260902-V1</x:v>
      </x:c>
      <x:c r="D74" s="13" t="str">
        <x:v>DSE</x:v>
      </x:c>
      <x:c r="E74" s="13" t="str">
        <x:v>C190</x:v>
      </x:c>
      <x:c r="F74" s="13" t="str">
        <x:v>V190</x:v>
      </x:c>
      <x:c r="G74" s="13" t="str">
        <x:v>V191</x:v>
      </x:c>
      <x:c r="H74" s="13" t="str">
        <x:v>브라질</x:v>
      </x:c>
      <x:c r="I74" s="13" t="str">
        <x:v>아르헨티나</x:v>
      </x:c>
      <x:c r="J74" s="13" t="str">
        <x:v>ROAD</x:v>
      </x:c>
      <x:c r="K74" s="13" t="n">
        <x:v>1</x:v>
      </x:c>
      <x:c r="L74" s="13" t="n">
        <x:v>-23.5505</x:v>
      </x:c>
      <x:c r="M74" s="13" t="n">
        <x:v>-46.6333</x:v>
      </x:c>
      <x:c r="N74" s="13" t="n">
        <x:v>-34.6037</x:v>
      </x:c>
      <x:c r="O74" s="13" t="n">
        <x:v>-58.3816</x:v>
      </x:c>
      <x:c r="P74" s="16" t="n">
        <x:v>1674.9</x:v>
      </x:c>
      <x:c r="Q74" s="16" t="n">
        <x:f>VLOOKUP(J74,Assumptions!$A$2:$H$5,2,FALSE)</x:f>
        <x:v>1.2</x:v>
      </x:c>
      <x:c r="R74" s="16" t="n">
        <x:f>ROUND(P74*Q74,0)</x:f>
        <x:v>2010</x:v>
      </x:c>
      <x:c r="S74" s="17" t="n">
        <x:f>VLOOKUP(J74,Assumptions!$A$2:$H$5,3,FALSE)</x:f>
        <x:v>600</x:v>
      </x:c>
      <x:c r="T74" s="17" t="n">
        <x:f>VLOOKUP(J74,Assumptions!$A$2:$H$5,4,FALSE)</x:f>
        <x:v>0.5</x:v>
      </x:c>
      <x:c r="U74" s="17" t="n">
        <x:f>VLOOKUP(J74,Assumptions!$A$2:$H$5,5,FALSE)</x:f>
        <x:v>0.5</x:v>
      </x:c>
      <x:c r="V74" s="17" t="n">
        <x:f>VLOOKUP(J74,Assumptions!$A$2:$H$5,6,FALSE)</x:f>
        <x:v>1</x:v>
      </x:c>
      <x:c r="W74" s="17" t="n">
        <x:f>VLOOKUP(J74,Assumptions!$A$2:$H$5,7,FALSE)</x:f>
        <x:v>0.5</x:v>
      </x:c>
      <x:c r="X74" s="17" t="n">
        <x:f>R74/S74</x:f>
        <x:v>3.35</x:v>
      </x:c>
      <x:c r="Y74" s="17" t="n">
        <x:f>ROUNDUP(SUM(T74:X74),0)</x:f>
        <x:v>6</x:v>
      </x:c>
      <x:c r="Z74" s="17" t="n">
        <x:f>VLOOKUP(J74,Assumptions!$A$2:$H$5,8,FALSE)</x:f>
        <x:v>1.4</x:v>
      </x:c>
      <x:c r="AA74" s="17" t="n">
        <x:f>ROUNDUP(Y74*Z74,0)</x:f>
        <x:v>9</x:v>
      </x:c>
      <x:c r="AB74" s="17" t="n">
        <x:f>AA74</x:f>
        <x:v>9</x:v>
      </x:c>
      <x:c r="AC74" s="13" t="str">
        <x:v>SYNTHETIC_CALCULATED</x:v>
      </x:c>
      <x:c r="AD74" s="13" t="str">
        <x:v>GEODESIC_MODE_FACTOR_V1</x:v>
      </x:c>
      <x:c r="AE74" s="13" t="str">
        <x:v>LOW</x:v>
      </x:c>
      <x:c r="AF74" s="13" t="str">
        <x:v>DRAFT</x:v>
      </x:c>
      <x:c r="AG74" s="13" t="str">
        <x:v>https://developers.google.com/maps/documentation/routes/compute_route_matrix</x:v>
      </x:c>
      <x:c r="AH74" s="13" t="str">
        <x:v>2026-09-02</x:v>
      </x:c>
    </x:row>
    <x:row r="75">
      <x:c r="A75" s="13" t="str">
        <x:v>V190-V191-AIR</x:v>
      </x:c>
      <x:c r="B75" s="13" t="str">
        <x:v>NET-C190</x:v>
      </x:c>
      <x:c r="C75" s="13" t="str">
        <x:v>SYNTH-20260902-V1</x:v>
      </x:c>
      <x:c r="D75" s="13" t="str">
        <x:v>DSE</x:v>
      </x:c>
      <x:c r="E75" s="13" t="str">
        <x:v>C190</x:v>
      </x:c>
      <x:c r="F75" s="13" t="str">
        <x:v>V190</x:v>
      </x:c>
      <x:c r="G75" s="13" t="str">
        <x:v>V191</x:v>
      </x:c>
      <x:c r="H75" s="13" t="str">
        <x:v>브라질</x:v>
      </x:c>
      <x:c r="I75" s="13" t="str">
        <x:v>아르헨티나</x:v>
      </x:c>
      <x:c r="J75" s="13" t="str">
        <x:v>AIR</x:v>
      </x:c>
      <x:c r="K75" s="13" t="n">
        <x:v>2</x:v>
      </x:c>
      <x:c r="L75" s="13" t="n">
        <x:v>-23.5505</x:v>
      </x:c>
      <x:c r="M75" s="13" t="n">
        <x:v>-46.6333</x:v>
      </x:c>
      <x:c r="N75" s="13" t="n">
        <x:v>-34.6037</x:v>
      </x:c>
      <x:c r="O75" s="13" t="n">
        <x:v>-58.3816</x:v>
      </x:c>
      <x:c r="P75" s="16" t="n">
        <x:v>1674.9</x:v>
      </x:c>
      <x:c r="Q75" s="16" t="n">
        <x:f>VLOOKUP(J75,Assumptions!$A$2:$H$5,2,FALSE)</x:f>
        <x:v>1.05</x:v>
      </x:c>
      <x:c r="R75" s="16" t="n">
        <x:f>ROUND(P75*Q75,0)</x:f>
        <x:v>1759</x:v>
      </x:c>
      <x:c r="S75" s="17" t="n">
        <x:f>VLOOKUP(J75,Assumptions!$A$2:$H$5,3,FALSE)</x:f>
        <x:v>18000</x:v>
      </x:c>
      <x:c r="T75" s="17" t="n">
        <x:f>VLOOKUP(J75,Assumptions!$A$2:$H$5,4,FALSE)</x:f>
        <x:v>1</x:v>
      </x:c>
      <x:c r="U75" s="17" t="n">
        <x:f>VLOOKUP(J75,Assumptions!$A$2:$H$5,5,FALSE)</x:f>
        <x:v>1</x:v>
      </x:c>
      <x:c r="V75" s="17" t="n">
        <x:f>VLOOKUP(J75,Assumptions!$A$2:$H$5,6,FALSE)</x:f>
        <x:v>2</x:v>
      </x:c>
      <x:c r="W75" s="17" t="n">
        <x:f>VLOOKUP(J75,Assumptions!$A$2:$H$5,7,FALSE)</x:f>
        <x:v>1</x:v>
      </x:c>
      <x:c r="X75" s="17" t="n">
        <x:f>R75/S75</x:f>
        <x:v>0.09772222222222222</x:v>
      </x:c>
      <x:c r="Y75" s="17" t="n">
        <x:f>ROUNDUP(SUM(T75:X75),0)</x:f>
        <x:v>6</x:v>
      </x:c>
      <x:c r="Z75" s="17" t="n">
        <x:f>VLOOKUP(J75,Assumptions!$A$2:$H$5,8,FALSE)</x:f>
        <x:v>1.3</x:v>
      </x:c>
      <x:c r="AA75" s="17" t="n">
        <x:f>ROUNDUP(Y75*Z75,0)</x:f>
        <x:v>8</x:v>
      </x:c>
      <x:c r="AB75" s="17" t="n">
        <x:f>AA75</x:f>
        <x:v>8</x:v>
      </x:c>
      <x:c r="AC75" s="13" t="str">
        <x:v>SYNTHETIC_CALCULATED</x:v>
      </x:c>
      <x:c r="AD75" s="13" t="str">
        <x:v>GEODESIC_MODE_FACTOR_V1</x:v>
      </x:c>
      <x:c r="AE75" s="13" t="str">
        <x:v>LOW</x:v>
      </x:c>
      <x:c r="AF75" s="13" t="str">
        <x:v>DRAFT</x:v>
      </x:c>
      <x:c r="AG75" s="13" t="str">
        <x:v>https://www.oag.com/airline-schedules-data</x:v>
      </x:c>
      <x:c r="AH75" s="13" t="str">
        <x:v>2026-09-02</x:v>
      </x:c>
    </x:row>
    <x:row r="76">
      <x:c r="A76" s="13" t="str">
        <x:v>V190-V192-ROAD</x:v>
      </x:c>
      <x:c r="B76" s="13" t="str">
        <x:v>NET-C190</x:v>
      </x:c>
      <x:c r="C76" s="13" t="str">
        <x:v>SYNTH-20260902-V1</x:v>
      </x:c>
      <x:c r="D76" s="13" t="str">
        <x:v>DSE</x:v>
      </x:c>
      <x:c r="E76" s="13" t="str">
        <x:v>C190</x:v>
      </x:c>
      <x:c r="F76" s="13" t="str">
        <x:v>V190</x:v>
      </x:c>
      <x:c r="G76" s="13" t="str">
        <x:v>V192</x:v>
      </x:c>
      <x:c r="H76" s="13" t="str">
        <x:v>브라질</x:v>
      </x:c>
      <x:c r="I76" s="13" t="str">
        <x:v>칠레</x:v>
      </x:c>
      <x:c r="J76" s="13" t="str">
        <x:v>ROAD</x:v>
      </x:c>
      <x:c r="K76" s="13" t="n">
        <x:v>1</x:v>
      </x:c>
      <x:c r="L76" s="13" t="n">
        <x:v>-23.5505</x:v>
      </x:c>
      <x:c r="M76" s="13" t="n">
        <x:v>-46.6333</x:v>
      </x:c>
      <x:c r="N76" s="13" t="n">
        <x:v>-33.4489</x:v>
      </x:c>
      <x:c r="O76" s="13" t="n">
        <x:v>-70.6693</x:v>
      </x:c>
      <x:c r="P76" s="16" t="n">
        <x:v>2585.3</x:v>
      </x:c>
      <x:c r="Q76" s="16" t="n">
        <x:f>VLOOKUP(J76,Assumptions!$A$2:$H$5,2,FALSE)</x:f>
        <x:v>1.2</x:v>
      </x:c>
      <x:c r="R76" s="16" t="n">
        <x:f>ROUND(P76*Q76,0)</x:f>
        <x:v>3102</x:v>
      </x:c>
      <x:c r="S76" s="17" t="n">
        <x:f>VLOOKUP(J76,Assumptions!$A$2:$H$5,3,FALSE)</x:f>
        <x:v>600</x:v>
      </x:c>
      <x:c r="T76" s="17" t="n">
        <x:f>VLOOKUP(J76,Assumptions!$A$2:$H$5,4,FALSE)</x:f>
        <x:v>0.5</x:v>
      </x:c>
      <x:c r="U76" s="17" t="n">
        <x:f>VLOOKUP(J76,Assumptions!$A$2:$H$5,5,FALSE)</x:f>
        <x:v>0.5</x:v>
      </x:c>
      <x:c r="V76" s="17" t="n">
        <x:f>VLOOKUP(J76,Assumptions!$A$2:$H$5,6,FALSE)</x:f>
        <x:v>1</x:v>
      </x:c>
      <x:c r="W76" s="17" t="n">
        <x:f>VLOOKUP(J76,Assumptions!$A$2:$H$5,7,FALSE)</x:f>
        <x:v>0.5</x:v>
      </x:c>
      <x:c r="X76" s="17" t="n">
        <x:f>R76/S76</x:f>
        <x:v>5.17</x:v>
      </x:c>
      <x:c r="Y76" s="17" t="n">
        <x:f>ROUNDUP(SUM(T76:X76),0)</x:f>
        <x:v>8</x:v>
      </x:c>
      <x:c r="Z76" s="17" t="n">
        <x:f>VLOOKUP(J76,Assumptions!$A$2:$H$5,8,FALSE)</x:f>
        <x:v>1.4</x:v>
      </x:c>
      <x:c r="AA76" s="17" t="n">
        <x:f>ROUNDUP(Y76*Z76,0)</x:f>
        <x:v>12</x:v>
      </x:c>
      <x:c r="AB76" s="17" t="n">
        <x:f>AA76</x:f>
        <x:v>12</x:v>
      </x:c>
      <x:c r="AC76" s="13" t="str">
        <x:v>SYNTHETIC_CALCULATED</x:v>
      </x:c>
      <x:c r="AD76" s="13" t="str">
        <x:v>GEODESIC_MODE_FACTOR_V1</x:v>
      </x:c>
      <x:c r="AE76" s="13" t="str">
        <x:v>LOW</x:v>
      </x:c>
      <x:c r="AF76" s="13" t="str">
        <x:v>DRAFT</x:v>
      </x:c>
      <x:c r="AG76" s="13" t="str">
        <x:v>https://developers.google.com/maps/documentation/routes/compute_route_matrix</x:v>
      </x:c>
      <x:c r="AH76" s="13" t="str">
        <x:v>2026-09-02</x:v>
      </x:c>
    </x:row>
    <x:row r="77">
      <x:c r="A77" s="13" t="str">
        <x:v>V190-V192-AIR</x:v>
      </x:c>
      <x:c r="B77" s="13" t="str">
        <x:v>NET-C190</x:v>
      </x:c>
      <x:c r="C77" s="13" t="str">
        <x:v>SYNTH-20260902-V1</x:v>
      </x:c>
      <x:c r="D77" s="13" t="str">
        <x:v>DSE</x:v>
      </x:c>
      <x:c r="E77" s="13" t="str">
        <x:v>C190</x:v>
      </x:c>
      <x:c r="F77" s="13" t="str">
        <x:v>V190</x:v>
      </x:c>
      <x:c r="G77" s="13" t="str">
        <x:v>V192</x:v>
      </x:c>
      <x:c r="H77" s="13" t="str">
        <x:v>브라질</x:v>
      </x:c>
      <x:c r="I77" s="13" t="str">
        <x:v>칠레</x:v>
      </x:c>
      <x:c r="J77" s="13" t="str">
        <x:v>AIR</x:v>
      </x:c>
      <x:c r="K77" s="13" t="n">
        <x:v>2</x:v>
      </x:c>
      <x:c r="L77" s="13" t="n">
        <x:v>-23.5505</x:v>
      </x:c>
      <x:c r="M77" s="13" t="n">
        <x:v>-46.6333</x:v>
      </x:c>
      <x:c r="N77" s="13" t="n">
        <x:v>-33.4489</x:v>
      </x:c>
      <x:c r="O77" s="13" t="n">
        <x:v>-70.6693</x:v>
      </x:c>
      <x:c r="P77" s="16" t="n">
        <x:v>2585.3</x:v>
      </x:c>
      <x:c r="Q77" s="16" t="n">
        <x:f>VLOOKUP(J77,Assumptions!$A$2:$H$5,2,FALSE)</x:f>
        <x:v>1.05</x:v>
      </x:c>
      <x:c r="R77" s="16" t="n">
        <x:f>ROUND(P77*Q77,0)</x:f>
        <x:v>2715</x:v>
      </x:c>
      <x:c r="S77" s="17" t="n">
        <x:f>VLOOKUP(J77,Assumptions!$A$2:$H$5,3,FALSE)</x:f>
        <x:v>18000</x:v>
      </x:c>
      <x:c r="T77" s="17" t="n">
        <x:f>VLOOKUP(J77,Assumptions!$A$2:$H$5,4,FALSE)</x:f>
        <x:v>1</x:v>
      </x:c>
      <x:c r="U77" s="17" t="n">
        <x:f>VLOOKUP(J77,Assumptions!$A$2:$H$5,5,FALSE)</x:f>
        <x:v>1</x:v>
      </x:c>
      <x:c r="V77" s="17" t="n">
        <x:f>VLOOKUP(J77,Assumptions!$A$2:$H$5,6,FALSE)</x:f>
        <x:v>2</x:v>
      </x:c>
      <x:c r="W77" s="17" t="n">
        <x:f>VLOOKUP(J77,Assumptions!$A$2:$H$5,7,FALSE)</x:f>
        <x:v>1</x:v>
      </x:c>
      <x:c r="X77" s="17" t="n">
        <x:f>R77/S77</x:f>
        <x:v>0.15083333333333335</x:v>
      </x:c>
      <x:c r="Y77" s="17" t="n">
        <x:f>ROUNDUP(SUM(T77:X77),0)</x:f>
        <x:v>6</x:v>
      </x:c>
      <x:c r="Z77" s="17" t="n">
        <x:f>VLOOKUP(J77,Assumptions!$A$2:$H$5,8,FALSE)</x:f>
        <x:v>1.3</x:v>
      </x:c>
      <x:c r="AA77" s="17" t="n">
        <x:f>ROUNDUP(Y77*Z77,0)</x:f>
        <x:v>8</x:v>
      </x:c>
      <x:c r="AB77" s="17" t="n">
        <x:f>AA77</x:f>
        <x:v>8</x:v>
      </x:c>
      <x:c r="AC77" s="13" t="str">
        <x:v>SYNTHETIC_CALCULATED</x:v>
      </x:c>
      <x:c r="AD77" s="13" t="str">
        <x:v>GEODESIC_MODE_FACTOR_V1</x:v>
      </x:c>
      <x:c r="AE77" s="13" t="str">
        <x:v>LOW</x:v>
      </x:c>
      <x:c r="AF77" s="13" t="str">
        <x:v>DRAFT</x:v>
      </x:c>
      <x:c r="AG77" s="13" t="str">
        <x:v>https://www.oag.com/airline-schedules-data</x:v>
      </x:c>
      <x:c r="AH77" s="13" t="str">
        <x:v>2026-09-02</x:v>
      </x:c>
    </x:row>
    <x:row r="78">
      <x:c r="A78" s="13" t="str">
        <x:v>V190-V193-ROAD</x:v>
      </x:c>
      <x:c r="B78" s="13" t="str">
        <x:v>NET-C190</x:v>
      </x:c>
      <x:c r="C78" s="13" t="str">
        <x:v>SYNTH-20260902-V1</x:v>
      </x:c>
      <x:c r="D78" s="13" t="str">
        <x:v>DSE</x:v>
      </x:c>
      <x:c r="E78" s="13" t="str">
        <x:v>C190</x:v>
      </x:c>
      <x:c r="F78" s="13" t="str">
        <x:v>V190</x:v>
      </x:c>
      <x:c r="G78" s="13" t="str">
        <x:v>V193</x:v>
      </x:c>
      <x:c r="H78" s="13" t="str">
        <x:v>브라질</x:v>
      </x:c>
      <x:c r="I78" s="13" t="str">
        <x:v>콜롬비아</x:v>
      </x:c>
      <x:c r="J78" s="13" t="str">
        <x:v>ROAD</x:v>
      </x:c>
      <x:c r="K78" s="13" t="n">
        <x:v>1</x:v>
      </x:c>
      <x:c r="L78" s="13" t="n">
        <x:v>-23.5505</x:v>
      </x:c>
      <x:c r="M78" s="13" t="n">
        <x:v>-46.6333</x:v>
      </x:c>
      <x:c r="N78" s="13" t="n">
        <x:v>4.711</x:v>
      </x:c>
      <x:c r="O78" s="13" t="n">
        <x:v>-74.0721</x:v>
      </x:c>
      <x:c r="P78" s="16" t="n">
        <x:v>4327.8</x:v>
      </x:c>
      <x:c r="Q78" s="16" t="n">
        <x:f>VLOOKUP(J78,Assumptions!$A$2:$H$5,2,FALSE)</x:f>
        <x:v>1.2</x:v>
      </x:c>
      <x:c r="R78" s="16" t="n">
        <x:f>ROUND(P78*Q78,0)</x:f>
        <x:v>5193</x:v>
      </x:c>
      <x:c r="S78" s="17" t="n">
        <x:f>VLOOKUP(J78,Assumptions!$A$2:$H$5,3,FALSE)</x:f>
        <x:v>600</x:v>
      </x:c>
      <x:c r="T78" s="17" t="n">
        <x:f>VLOOKUP(J78,Assumptions!$A$2:$H$5,4,FALSE)</x:f>
        <x:v>0.5</x:v>
      </x:c>
      <x:c r="U78" s="17" t="n">
        <x:f>VLOOKUP(J78,Assumptions!$A$2:$H$5,5,FALSE)</x:f>
        <x:v>0.5</x:v>
      </x:c>
      <x:c r="V78" s="17" t="n">
        <x:f>VLOOKUP(J78,Assumptions!$A$2:$H$5,6,FALSE)</x:f>
        <x:v>1</x:v>
      </x:c>
      <x:c r="W78" s="17" t="n">
        <x:f>VLOOKUP(J78,Assumptions!$A$2:$H$5,7,FALSE)</x:f>
        <x:v>0.5</x:v>
      </x:c>
      <x:c r="X78" s="17" t="n">
        <x:f>R78/S78</x:f>
        <x:v>8.655</x:v>
      </x:c>
      <x:c r="Y78" s="17" t="n">
        <x:f>ROUNDUP(SUM(T78:X78),0)</x:f>
        <x:v>12</x:v>
      </x:c>
      <x:c r="Z78" s="17" t="n">
        <x:f>VLOOKUP(J78,Assumptions!$A$2:$H$5,8,FALSE)</x:f>
        <x:v>1.4</x:v>
      </x:c>
      <x:c r="AA78" s="17" t="n">
        <x:f>ROUNDUP(Y78*Z78,0)</x:f>
        <x:v>17</x:v>
      </x:c>
      <x:c r="AB78" s="17" t="n">
        <x:f>AA78</x:f>
        <x:v>17</x:v>
      </x:c>
      <x:c r="AC78" s="13" t="str">
        <x:v>SYNTHETIC_CALCULATED</x:v>
      </x:c>
      <x:c r="AD78" s="13" t="str">
        <x:v>GEODESIC_MODE_FACTOR_V1</x:v>
      </x:c>
      <x:c r="AE78" s="13" t="str">
        <x:v>LOW</x:v>
      </x:c>
      <x:c r="AF78" s="13" t="str">
        <x:v>DRAFT</x:v>
      </x:c>
      <x:c r="AG78" s="13" t="str">
        <x:v>https://developers.google.com/maps/documentation/routes/compute_route_matrix</x:v>
      </x:c>
      <x:c r="AH78" s="13" t="str">
        <x:v>2026-09-02</x:v>
      </x:c>
    </x:row>
    <x:row r="79">
      <x:c r="A79" s="13" t="str">
        <x:v>V190-V193-AIR</x:v>
      </x:c>
      <x:c r="B79" s="13" t="str">
        <x:v>NET-C190</x:v>
      </x:c>
      <x:c r="C79" s="13" t="str">
        <x:v>SYNTH-20260902-V1</x:v>
      </x:c>
      <x:c r="D79" s="13" t="str">
        <x:v>DSE</x:v>
      </x:c>
      <x:c r="E79" s="13" t="str">
        <x:v>C190</x:v>
      </x:c>
      <x:c r="F79" s="13" t="str">
        <x:v>V190</x:v>
      </x:c>
      <x:c r="G79" s="13" t="str">
        <x:v>V193</x:v>
      </x:c>
      <x:c r="H79" s="13" t="str">
        <x:v>브라질</x:v>
      </x:c>
      <x:c r="I79" s="13" t="str">
        <x:v>콜롬비아</x:v>
      </x:c>
      <x:c r="J79" s="13" t="str">
        <x:v>AIR</x:v>
      </x:c>
      <x:c r="K79" s="13" t="n">
        <x:v>2</x:v>
      </x:c>
      <x:c r="L79" s="13" t="n">
        <x:v>-23.5505</x:v>
      </x:c>
      <x:c r="M79" s="13" t="n">
        <x:v>-46.6333</x:v>
      </x:c>
      <x:c r="N79" s="13" t="n">
        <x:v>4.711</x:v>
      </x:c>
      <x:c r="O79" s="13" t="n">
        <x:v>-74.0721</x:v>
      </x:c>
      <x:c r="P79" s="16" t="n">
        <x:v>4327.8</x:v>
      </x:c>
      <x:c r="Q79" s="16" t="n">
        <x:f>VLOOKUP(J79,Assumptions!$A$2:$H$5,2,FALSE)</x:f>
        <x:v>1.05</x:v>
      </x:c>
      <x:c r="R79" s="16" t="n">
        <x:f>ROUND(P79*Q79,0)</x:f>
        <x:v>4544</x:v>
      </x:c>
      <x:c r="S79" s="17" t="n">
        <x:f>VLOOKUP(J79,Assumptions!$A$2:$H$5,3,FALSE)</x:f>
        <x:v>18000</x:v>
      </x:c>
      <x:c r="T79" s="17" t="n">
        <x:f>VLOOKUP(J79,Assumptions!$A$2:$H$5,4,FALSE)</x:f>
        <x:v>1</x:v>
      </x:c>
      <x:c r="U79" s="17" t="n">
        <x:f>VLOOKUP(J79,Assumptions!$A$2:$H$5,5,FALSE)</x:f>
        <x:v>1</x:v>
      </x:c>
      <x:c r="V79" s="17" t="n">
        <x:f>VLOOKUP(J79,Assumptions!$A$2:$H$5,6,FALSE)</x:f>
        <x:v>2</x:v>
      </x:c>
      <x:c r="W79" s="17" t="n">
        <x:f>VLOOKUP(J79,Assumptions!$A$2:$H$5,7,FALSE)</x:f>
        <x:v>1</x:v>
      </x:c>
      <x:c r="X79" s="17" t="n">
        <x:f>R79/S79</x:f>
        <x:v>0.25244444444444447</x:v>
      </x:c>
      <x:c r="Y79" s="17" t="n">
        <x:f>ROUNDUP(SUM(T79:X79),0)</x:f>
        <x:v>6</x:v>
      </x:c>
      <x:c r="Z79" s="17" t="n">
        <x:f>VLOOKUP(J79,Assumptions!$A$2:$H$5,8,FALSE)</x:f>
        <x:v>1.3</x:v>
      </x:c>
      <x:c r="AA79" s="17" t="n">
        <x:f>ROUNDUP(Y79*Z79,0)</x:f>
        <x:v>8</x:v>
      </x:c>
      <x:c r="AB79" s="17" t="n">
        <x:f>AA79</x:f>
        <x:v>8</x:v>
      </x:c>
      <x:c r="AC79" s="13" t="str">
        <x:v>SYNTHETIC_CALCULATED</x:v>
      </x:c>
      <x:c r="AD79" s="13" t="str">
        <x:v>GEODESIC_MODE_FACTOR_V1</x:v>
      </x:c>
      <x:c r="AE79" s="13" t="str">
        <x:v>LOW</x:v>
      </x:c>
      <x:c r="AF79" s="13" t="str">
        <x:v>DRAFT</x:v>
      </x:c>
      <x:c r="AG79" s="13" t="str">
        <x:v>https://www.oag.com/airline-schedules-data</x:v>
      </x:c>
      <x:c r="AH79" s="13" t="str">
        <x:v>2026-09-02</x:v>
      </x:c>
    </x:row>
    <x:row r="80">
      <x:c r="A80" s="13" t="str">
        <x:v>V190-V194-ROAD</x:v>
      </x:c>
      <x:c r="B80" s="13" t="str">
        <x:v>NET-C190</x:v>
      </x:c>
      <x:c r="C80" s="13" t="str">
        <x:v>SYNTH-20260902-V1</x:v>
      </x:c>
      <x:c r="D80" s="13" t="str">
        <x:v>DSE</x:v>
      </x:c>
      <x:c r="E80" s="13" t="str">
        <x:v>C190</x:v>
      </x:c>
      <x:c r="F80" s="13" t="str">
        <x:v>V190</x:v>
      </x:c>
      <x:c r="G80" s="13" t="str">
        <x:v>V194</x:v>
      </x:c>
      <x:c r="H80" s="13" t="str">
        <x:v>브라질</x:v>
      </x:c>
      <x:c r="I80" s="13" t="str">
        <x:v>페루</x:v>
      </x:c>
      <x:c r="J80" s="13" t="str">
        <x:v>ROAD</x:v>
      </x:c>
      <x:c r="K80" s="13" t="n">
        <x:v>1</x:v>
      </x:c>
      <x:c r="L80" s="13" t="n">
        <x:v>-23.5505</x:v>
      </x:c>
      <x:c r="M80" s="13" t="n">
        <x:v>-46.6333</x:v>
      </x:c>
      <x:c r="N80" s="13" t="n">
        <x:v>-12.0464</x:v>
      </x:c>
      <x:c r="O80" s="13" t="n">
        <x:v>-77.0428</x:v>
      </x:c>
      <x:c r="P80" s="16" t="n">
        <x:v>3454.4</x:v>
      </x:c>
      <x:c r="Q80" s="16" t="n">
        <x:f>VLOOKUP(J80,Assumptions!$A$2:$H$5,2,FALSE)</x:f>
        <x:v>1.2</x:v>
      </x:c>
      <x:c r="R80" s="16" t="n">
        <x:f>ROUND(P80*Q80,0)</x:f>
        <x:v>4145</x:v>
      </x:c>
      <x:c r="S80" s="17" t="n">
        <x:f>VLOOKUP(J80,Assumptions!$A$2:$H$5,3,FALSE)</x:f>
        <x:v>600</x:v>
      </x:c>
      <x:c r="T80" s="17" t="n">
        <x:f>VLOOKUP(J80,Assumptions!$A$2:$H$5,4,FALSE)</x:f>
        <x:v>0.5</x:v>
      </x:c>
      <x:c r="U80" s="17" t="n">
        <x:f>VLOOKUP(J80,Assumptions!$A$2:$H$5,5,FALSE)</x:f>
        <x:v>0.5</x:v>
      </x:c>
      <x:c r="V80" s="17" t="n">
        <x:f>VLOOKUP(J80,Assumptions!$A$2:$H$5,6,FALSE)</x:f>
        <x:v>1</x:v>
      </x:c>
      <x:c r="W80" s="17" t="n">
        <x:f>VLOOKUP(J80,Assumptions!$A$2:$H$5,7,FALSE)</x:f>
        <x:v>0.5</x:v>
      </x:c>
      <x:c r="X80" s="17" t="n">
        <x:f>R80/S80</x:f>
        <x:v>6.908333333333333</x:v>
      </x:c>
      <x:c r="Y80" s="17" t="n">
        <x:f>ROUNDUP(SUM(T80:X80),0)</x:f>
        <x:v>10</x:v>
      </x:c>
      <x:c r="Z80" s="17" t="n">
        <x:f>VLOOKUP(J80,Assumptions!$A$2:$H$5,8,FALSE)</x:f>
        <x:v>1.4</x:v>
      </x:c>
      <x:c r="AA80" s="17" t="n">
        <x:f>ROUNDUP(Y80*Z80,0)</x:f>
        <x:v>14</x:v>
      </x:c>
      <x:c r="AB80" s="17" t="n">
        <x:f>AA80</x:f>
        <x:v>14</x:v>
      </x:c>
      <x:c r="AC80" s="13" t="str">
        <x:v>SYNTHETIC_CALCULATED</x:v>
      </x:c>
      <x:c r="AD80" s="13" t="str">
        <x:v>GEODESIC_MODE_FACTOR_V1</x:v>
      </x:c>
      <x:c r="AE80" s="13" t="str">
        <x:v>LOW</x:v>
      </x:c>
      <x:c r="AF80" s="13" t="str">
        <x:v>DRAFT</x:v>
      </x:c>
      <x:c r="AG80" s="13" t="str">
        <x:v>https://developers.google.com/maps/documentation/routes/compute_route_matrix</x:v>
      </x:c>
      <x:c r="AH80" s="13" t="str">
        <x:v>2026-09-02</x:v>
      </x:c>
    </x:row>
    <x:row r="81">
      <x:c r="A81" s="13" t="str">
        <x:v>V190-V194-AIR</x:v>
      </x:c>
      <x:c r="B81" s="13" t="str">
        <x:v>NET-C190</x:v>
      </x:c>
      <x:c r="C81" s="13" t="str">
        <x:v>SYNTH-20260902-V1</x:v>
      </x:c>
      <x:c r="D81" s="13" t="str">
        <x:v>DSE</x:v>
      </x:c>
      <x:c r="E81" s="13" t="str">
        <x:v>C190</x:v>
      </x:c>
      <x:c r="F81" s="13" t="str">
        <x:v>V190</x:v>
      </x:c>
      <x:c r="G81" s="13" t="str">
        <x:v>V194</x:v>
      </x:c>
      <x:c r="H81" s="13" t="str">
        <x:v>브라질</x:v>
      </x:c>
      <x:c r="I81" s="13" t="str">
        <x:v>페루</x:v>
      </x:c>
      <x:c r="J81" s="13" t="str">
        <x:v>AIR</x:v>
      </x:c>
      <x:c r="K81" s="13" t="n">
        <x:v>2</x:v>
      </x:c>
      <x:c r="L81" s="13" t="n">
        <x:v>-23.5505</x:v>
      </x:c>
      <x:c r="M81" s="13" t="n">
        <x:v>-46.6333</x:v>
      </x:c>
      <x:c r="N81" s="13" t="n">
        <x:v>-12.0464</x:v>
      </x:c>
      <x:c r="O81" s="13" t="n">
        <x:v>-77.0428</x:v>
      </x:c>
      <x:c r="P81" s="16" t="n">
        <x:v>3454.4</x:v>
      </x:c>
      <x:c r="Q81" s="16" t="n">
        <x:f>VLOOKUP(J81,Assumptions!$A$2:$H$5,2,FALSE)</x:f>
        <x:v>1.05</x:v>
      </x:c>
      <x:c r="R81" s="16" t="n">
        <x:f>ROUND(P81*Q81,0)</x:f>
        <x:v>3627</x:v>
      </x:c>
      <x:c r="S81" s="17" t="n">
        <x:f>VLOOKUP(J81,Assumptions!$A$2:$H$5,3,FALSE)</x:f>
        <x:v>18000</x:v>
      </x:c>
      <x:c r="T81" s="17" t="n">
        <x:f>VLOOKUP(J81,Assumptions!$A$2:$H$5,4,FALSE)</x:f>
        <x:v>1</x:v>
      </x:c>
      <x:c r="U81" s="17" t="n">
        <x:f>VLOOKUP(J81,Assumptions!$A$2:$H$5,5,FALSE)</x:f>
        <x:v>1</x:v>
      </x:c>
      <x:c r="V81" s="17" t="n">
        <x:f>VLOOKUP(J81,Assumptions!$A$2:$H$5,6,FALSE)</x:f>
        <x:v>2</x:v>
      </x:c>
      <x:c r="W81" s="17" t="n">
        <x:f>VLOOKUP(J81,Assumptions!$A$2:$H$5,7,FALSE)</x:f>
        <x:v>1</x:v>
      </x:c>
      <x:c r="X81" s="17" t="n">
        <x:f>R81/S81</x:f>
        <x:v>0.2015</x:v>
      </x:c>
      <x:c r="Y81" s="17" t="n">
        <x:f>ROUNDUP(SUM(T81:X81),0)</x:f>
        <x:v>6</x:v>
      </x:c>
      <x:c r="Z81" s="17" t="n">
        <x:f>VLOOKUP(J81,Assumptions!$A$2:$H$5,8,FALSE)</x:f>
        <x:v>1.3</x:v>
      </x:c>
      <x:c r="AA81" s="17" t="n">
        <x:f>ROUNDUP(Y81*Z81,0)</x:f>
        <x:v>8</x:v>
      </x:c>
      <x:c r="AB81" s="17" t="n">
        <x:f>AA81</x:f>
        <x:v>8</x:v>
      </x:c>
      <x:c r="AC81" s="13" t="str">
        <x:v>SYNTHETIC_CALCULATED</x:v>
      </x:c>
      <x:c r="AD81" s="13" t="str">
        <x:v>GEODESIC_MODE_FACTOR_V1</x:v>
      </x:c>
      <x:c r="AE81" s="13" t="str">
        <x:v>LOW</x:v>
      </x:c>
      <x:c r="AF81" s="13" t="str">
        <x:v>DRAFT</x:v>
      </x:c>
      <x:c r="AG81" s="13" t="str">
        <x:v>https://www.oag.com/airline-schedules-data</x:v>
      </x:c>
      <x:c r="AH81" s="13" t="str">
        <x:v>2026-09-02</x:v>
      </x:c>
    </x:row>
  </x:sheetData>
  <x:pageMargins left="0.7" right="0.7" top="0.75" bottom="0.75" header="0.3" footer="0.3"/>
  <x:tableParts count="1">
    <x:tablePart xmlns:r="http://schemas.openxmlformats.org/officeDocument/2006/relationships" r:id="R2738f2d02a984d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34.220001220703125" hidden="0" customWidth="1"/>
    <x:col min="3" max="3" width="15.4399995803833" hidden="0" customWidth="1"/>
    <x:col min="4" max="4" width="16.889999389648438" hidden="0" customWidth="1"/>
    <x:col min="5" max="5" width="16.670000076293945" hidden="0" customWidth="1"/>
    <x:col min="6" max="6" width="11.670000076293945" hidden="0" customWidth="1"/>
    <x:col min="7" max="7" width="21.110000610351562" hidden="0" customWidth="1"/>
    <x:col min="8" max="8" width="13.329999923706055" hidden="0" customWidth="1"/>
    <x:col min="9" max="9" width="48" hidden="0" customWidth="1"/>
    <x:col min="10" max="10" width="48" hidden="0" customWidth="1"/>
  </x:cols>
  <x:sheetData>
    <x:row r="1" ht="32" customHeight="1">
      <x:c r="A1" s="6" t="str">
        <x:v>transport_mode</x:v>
      </x:c>
      <x:c r="B1" s="6" t="str">
        <x:v>route_factor</x:v>
      </x:c>
      <x:c r="C1" s="6" t="str">
        <x:v>speed_km_per_day</x:v>
      </x:c>
      <x:c r="D1" s="6" t="str">
        <x:v>origin_handling_days</x:v>
      </x:c>
      <x:c r="E1" s="6" t="str">
        <x:v>departure_wait_days</x:v>
      </x:c>
      <x:c r="F1" s="6" t="str">
        <x:v>customs_days</x:v>
      </x:c>
      <x:c r="G1" s="6" t="str">
        <x:v>destination_handling_days</x:v>
      </x:c>
      <x:c r="H1" s="6" t="str">
        <x:v>variability_factor</x:v>
      </x:c>
      <x:c r="I1" s="6" t="str">
        <x:v>reference_url</x:v>
      </x:c>
      <x:c r="J1" s="6" t="str">
        <x:v>usage_note</x:v>
      </x:c>
    </x:row>
    <x:row r="2">
      <x:c r="A2" s="15" t="str">
        <x:v>AIR</x:v>
      </x:c>
      <x:c r="B2" s="15" t="n">
        <x:v>1.05</x:v>
      </x:c>
      <x:c r="C2" s="15" t="n">
        <x:v>18000</x:v>
      </x:c>
      <x:c r="D2" s="15" t="n">
        <x:v>1</x:v>
      </x:c>
      <x:c r="E2" s="15" t="n">
        <x:v>1</x:v>
      </x:c>
      <x:c r="F2" s="15" t="n">
        <x:v>2</x:v>
      </x:c>
      <x:c r="G2" s="15" t="n">
        <x:v>1</x:v>
      </x:c>
      <x:c r="H2" s="15" t="n">
        <x:v>1.3</x:v>
      </x:c>
      <x:c r="I2" s="15" t="str">
        <x:v>https://www.oag.com/airline-schedules-data</x:v>
      </x:c>
      <x:c r="J2" s="15" t="str">
        <x:v>문서만 참조했으며 API는 호출하지 않음</x:v>
      </x:c>
    </x:row>
    <x:row r="3">
      <x:c r="A3" s="15" t="str">
        <x:v>ROAD</x:v>
      </x:c>
      <x:c r="B3" s="15" t="n">
        <x:v>1.2</x:v>
      </x:c>
      <x:c r="C3" s="15" t="n">
        <x:v>600</x:v>
      </x:c>
      <x:c r="D3" s="15" t="n">
        <x:v>0.5</x:v>
      </x:c>
      <x:c r="E3" s="15" t="n">
        <x:v>0.5</x:v>
      </x:c>
      <x:c r="F3" s="15" t="n">
        <x:v>1</x:v>
      </x:c>
      <x:c r="G3" s="15" t="n">
        <x:v>0.5</x:v>
      </x:c>
      <x:c r="H3" s="15" t="n">
        <x:v>1.4</x:v>
      </x:c>
      <x:c r="I3" s="15" t="str">
        <x:v>https://developers.google.com/maps/documentation/routes/compute_route_matrix</x:v>
      </x:c>
      <x:c r="J3" s="15" t="str">
        <x:v>문서만 참조했으며 API는 호출하지 않음</x:v>
      </x:c>
    </x:row>
    <x:row r="4">
      <x:c r="A4" s="15" t="str">
        <x:v>SEA</x:v>
      </x:c>
      <x:c r="B4" s="15" t="n">
        <x:v>1.35</x:v>
      </x:c>
      <x:c r="C4" s="15" t="n">
        <x:v>600</x:v>
      </x:c>
      <x:c r="D4" s="15" t="n">
        <x:v>2</x:v>
      </x:c>
      <x:c r="E4" s="15" t="n">
        <x:v>4</x:v>
      </x:c>
      <x:c r="F4" s="15" t="n">
        <x:v>3</x:v>
      </x:c>
      <x:c r="G4" s="15" t="n">
        <x:v>2</x:v>
      </x:c>
      <x:c r="H4" s="15" t="n">
        <x:v>1.5</x:v>
      </x:c>
      <x:c r="I4" s="15" t="str">
        <x:v>https://developer.searoutes.com/reference/getsearoute</x:v>
      </x:c>
      <x:c r="J4" s="15" t="str">
        <x:v>문서만 참조했으며 API는 호출하지 않음</x:v>
      </x:c>
    </x:row>
    <x:row r="5">
      <x:c r="A5" s="15" t="str">
        <x:v>MULTIMODAL</x:v>
      </x:c>
      <x:c r="B5" s="15" t="n">
        <x:v>1.3</x:v>
      </x:c>
      <x:c r="C5" s="15" t="n">
        <x:v>500</x:v>
      </x:c>
      <x:c r="D5" s="15" t="n">
        <x:v>1</x:v>
      </x:c>
      <x:c r="E5" s="15" t="n">
        <x:v>2</x:v>
      </x:c>
      <x:c r="F5" s="15" t="n">
        <x:v>2</x:v>
      </x:c>
      <x:c r="G5" s="15" t="n">
        <x:v>1</x:v>
      </x:c>
      <x:c r="H5" s="15" t="n">
        <x:v>1.5</x:v>
      </x:c>
      <x:c r="I5" s="15" t="str">
        <x:v>https://developers.google.com/maps/documentation/routes/compute_route_matrix</x:v>
      </x:c>
      <x:c r="J5" s="15" t="str">
        <x:v>문서만 참조했으며 API는 호출하지 않음</x:v>
      </x:c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</x:row>
    <x:row r="8" ht="32" customHeight="1">
      <x:c r="A8" s="6" t="str">
        <x:v>계산 항목</x:v>
      </x:c>
      <x:c r="B8" s="6" t="str">
        <x:v>산식</x:v>
      </x:c>
      <x:c r="C8" s="15"/>
      <x:c r="D8" s="15"/>
      <x:c r="E8" s="15"/>
      <x:c r="F8" s="15"/>
      <x:c r="G8" s="15"/>
      <x:c r="H8" s="15"/>
      <x:c r="I8" s="15"/>
      <x:c r="J8" s="15"/>
    </x:row>
    <x:row r="9">
      <x:c r="A9" s="15" t="str">
        <x:v>대권거리</x:v>
      </x:c>
      <x:c r="B9" s="15" t="str">
        <x:v>기준 물류도시 위·경도 간 Haversine</x:v>
      </x:c>
      <x:c r="C9" s="15"/>
      <x:c r="D9" s="15"/>
      <x:c r="E9" s="15"/>
      <x:c r="F9" s="15"/>
      <x:c r="G9" s="15"/>
      <x:c r="H9" s="15"/>
      <x:c r="I9" s="15"/>
      <x:c r="J9" s="15"/>
    </x:row>
    <x:row r="10">
      <x:c r="A10" s="15" t="str">
        <x:v>경로거리</x:v>
      </x:c>
      <x:c r="B10" s="15" t="str">
        <x:v>대권거리 × Mode별 Route Factor</x:v>
      </x:c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15" t="str">
        <x:v>Line-haul</x:v>
      </x:c>
      <x:c r="B11" s="15" t="str">
        <x:v>경로거리 ÷ Mode별 km/day</x:v>
      </x:c>
      <x:c r="C11" s="15"/>
      <x:c r="D11" s="15"/>
      <x:c r="E11" s="15"/>
      <x:c r="F11" s="15"/>
      <x:c r="G11" s="15"/>
      <x:c r="H11" s="15"/>
      <x:c r="I11" s="15"/>
      <x:c r="J11" s="15"/>
    </x:row>
    <x:row r="12">
      <x:c r="A12" s="15" t="str">
        <x:v>P50</x:v>
      </x:c>
      <x:c r="B12" s="15" t="str">
        <x:v>ROUNDUP(처리+대기+Line-haul+통관+도착처리)</x:v>
      </x:c>
      <x:c r="C12" s="15"/>
      <x:c r="D12" s="15"/>
      <x:c r="E12" s="15"/>
      <x:c r="F12" s="15"/>
      <x:c r="G12" s="15"/>
      <x:c r="H12" s="15"/>
      <x:c r="I12" s="15"/>
      <x:c r="J12" s="15"/>
    </x:row>
    <x:row r="13">
      <x:c r="A13" s="15" t="str">
        <x:v>P90</x:v>
      </x:c>
      <x:c r="B13" s="15" t="str">
        <x:v>ROUNDUP(P50 × Mode별 Variability Factor)</x:v>
      </x:c>
      <x:c r="C13" s="15"/>
      <x:c r="D13" s="15"/>
      <x:c r="E13" s="15"/>
      <x:c r="F13" s="15"/>
      <x:c r="G13" s="15"/>
      <x:c r="H13" s="15"/>
      <x:c r="I13" s="15"/>
      <x:c r="J13" s="15"/>
    </x:row>
    <x:row r="14">
      <x:c r="A14" s="15" t="str">
        <x:v>Planning LT</x:v>
      </x:c>
      <x:c r="B14" s="15" t="str">
        <x:v>P90</x:v>
      </x:c>
      <x:c r="C14" s="15"/>
      <x:c r="D14" s="15"/>
      <x:c r="E14" s="15"/>
      <x:c r="F14" s="15"/>
      <x:c r="G14" s="15"/>
      <x:c r="H14" s="15"/>
      <x:c r="I14" s="15"/>
      <x:c r="J14" s="15"/>
    </x:row>
    <x:row r="15">
      <x:c r="A15" s="15" t="str">
        <x:v>Source</x:v>
      </x:c>
      <x:c r="B15" s="15" t="str">
        <x:v>SYNTHETIC_CALCULATED / DRAFT</x:v>
      </x:c>
      <x:c r="C15" s="15"/>
      <x:c r="D15" s="15"/>
      <x:c r="E15" s="15"/>
      <x:c r="F15" s="15"/>
      <x:c r="G15" s="15"/>
      <x:c r="H15" s="15"/>
      <x:c r="I15" s="15"/>
      <x:c r="J15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4.78000020980835" hidden="0" customWidth="1"/>
    <x:col min="4" max="4" width="4.559999942779541" hidden="0" customWidth="1"/>
  </x:cols>
  <x:sheetData>
    <x:row r="1" ht="32" customHeight="1">
      <x:c r="A1" s="6" t="str">
        <x:v>검증 항목</x:v>
      </x:c>
      <x:c r="B1" s="6" t="str">
        <x:v>기대값</x:v>
      </x:c>
      <x:c r="C1" s="6" t="str">
        <x:v>실제값</x:v>
      </x:c>
      <x:c r="D1" s="6" t="str">
        <x:v>결과</x:v>
      </x:c>
    </x:row>
    <x:row r="2">
      <x:c r="A2" t="str">
        <x:v>Node 수</x:v>
      </x:c>
      <x:c r="B2" t="n">
        <x:v>50</x:v>
      </x:c>
      <x:c r="C2" t="n">
        <x:f>COUNTA('Network Nodes'!$E$2:$E$51)</x:f>
        <x:v>50</x:v>
      </x:c>
      <x:c r="D2" t="str">
        <x:f>IF(B2=C2,"PASS","FAIL")</x:f>
        <x:v>PASS</x:v>
      </x:c>
    </x:row>
    <x:row r="3">
      <x:c r="A3" t="str">
        <x:v>Subsidiary 수</x:v>
      </x:c>
      <x:c r="B3" t="n">
        <x:v>10</x:v>
      </x:c>
      <x:c r="C3" t="n">
        <x:f>COUNTIF('Network Nodes'!$G$2:$G$51,"HUB_WITH_LOCAL_DEMAND")</x:f>
        <x:v>10</x:v>
      </x:c>
      <x:c r="D3" t="str">
        <x:f>IF(B3=C3,"PASS","FAIL")</x:f>
        <x:v>PASS</x:v>
      </x:c>
    </x:row>
    <x:row r="4">
      <x:c r="A4" t="str">
        <x:v>Hub 수</x:v>
      </x:c>
      <x:c r="B4" t="n">
        <x:v>10</x:v>
      </x:c>
      <x:c r="C4" t="n">
        <x:f>COUNTIF('Network Nodes'!$G$2:$G$51,"HUB_WITH_LOCAL_DEMAND")</x:f>
        <x:v>10</x:v>
      </x:c>
      <x:c r="D4" t="str">
        <x:f>IF(B4=C4,"PASS","FAIL")</x:f>
        <x:v>PASS</x:v>
      </x:c>
    </x:row>
    <x:row r="5">
      <x:c r="A5" t="str">
        <x:v>Spoke 수</x:v>
      </x:c>
      <x:c r="B5" t="n">
        <x:v>40</x:v>
      </x:c>
      <x:c r="C5" t="n">
        <x:f>COUNTIF('Network Nodes'!$G$2:$G$51,"SPOKE")</x:f>
        <x:v>40</x:v>
      </x:c>
      <x:c r="D5" t="str">
        <x:f>IF(B5=C5,"PASS","FAIL")</x:f>
        <x:v>PASS</x:v>
      </x:c>
    </x:row>
    <x:row r="6">
      <x:c r="A6" t="str">
        <x:v>주 Hub→Spoke 관계 수</x:v>
      </x:c>
      <x:c r="B6" t="n">
        <x:v>40</x:v>
      </x:c>
      <x:c r="C6" t="n">
        <x:f>COUNTIF('Transport Lanes'!$K$2:$K$81,1)</x:f>
        <x:v>40</x:v>
      </x:c>
      <x:c r="D6" t="str">
        <x:f>IF(B6=C6,"PASS","FAIL")</x:f>
        <x:v>PASS</x:v>
      </x:c>
    </x:row>
    <x:row r="7">
      <x:c r="A7" t="str">
        <x:v>전체 Lane Mode Row 수</x:v>
      </x:c>
      <x:c r="B7" t="n">
        <x:v>80</x:v>
      </x:c>
      <x:c r="C7" t="n">
        <x:f>COUNTA('Transport Lanes'!$A$2:$A$81)</x:f>
        <x:v>80</x:v>
      </x:c>
      <x:c r="D7" t="str">
        <x:f>IF(B7=C7,"PASS","FAIL")</x:f>
        <x:v>PASS</x:v>
      </x:c>
    </x:row>
    <x:row r="8">
      <x:c r="A8" t="str">
        <x:v>Node 중복 수</x:v>
      </x:c>
      <x:c r="B8" t="n">
        <x:v>0</x:v>
      </x:c>
      <x:c r="C8" t="n">
        <x:v>0</x:v>
      </x:c>
      <x:c r="D8" t="str">
        <x:f>IF(B8=C8,"PASS","FAIL")</x:f>
        <x:v>PASS</x:v>
      </x:c>
    </x:row>
    <x:row r="9">
      <x:c r="A9" t="str">
        <x:v>Lane ID 중복 수</x:v>
      </x:c>
      <x:c r="B9" t="n">
        <x:v>0</x:v>
      </x:c>
      <x:c r="C9" t="n">
        <x:v>0</x:v>
      </x:c>
      <x:c r="D9" t="str">
        <x:f>IF(B9=C9,"PASS","FAIL")</x:f>
        <x:v>PASS</x:v>
      </x:c>
    </x:row>
    <x:row r="10">
      <x:c r="A10" t="str">
        <x:v>Endpoint 누락 수</x:v>
      </x:c>
      <x:c r="B10" t="n">
        <x:v>0</x:v>
      </x:c>
      <x:c r="C10" t="n">
        <x:v>0</x:v>
      </x:c>
      <x:c r="D10" t="str">
        <x:f>IF(B10=C10,"PASS","FAIL")</x:f>
        <x:v>PASS</x:v>
      </x:c>
    </x:row>
    <x:row r="11">
      <x:c r="A11" t="str">
        <x:v>Planning LT &lt; P50 수</x:v>
      </x:c>
      <x:c r="B11" t="n">
        <x:v>0</x:v>
      </x:c>
      <x:c r="C11" t="n">
        <x:f>SUMPRODUCT(--('Transport Lanes'!$AB$2:$AB$81&lt;'Transport Lanes'!$Y$2:$Y$81))</x:f>
        <x:v>0</x:v>
      </x:c>
      <x:c r="D11" t="str">
        <x:f>IF(B11=C11,"PASS","FAIL")</x:f>
        <x:v>PASS</x:v>
      </x:c>
    </x:row>
    <x:row r="12">
      <x:c r="A12" t="str">
        <x:v>DRAFT가 아닌 Row 수</x:v>
      </x:c>
      <x:c r="B12" t="n">
        <x:v>0</x:v>
      </x:c>
      <x:c r="C12" t="n">
        <x:f>COUNTIF('Transport Lanes'!$AF$2:$AF$81,"&lt;&gt;DRAFT")</x:f>
        <x:v>0</x:v>
      </x:c>
      <x:c r="D12" t="str">
        <x:f>IF(B12=C12,"PASS","FAIL")</x:f>
        <x:v>PASS</x:v>
      </x:c>
    </x:row>
    <x:row r="14" ht="32" customHeight="1">
      <x:c r="A14" s="6" t="str">
        <x:v>검증 주의</x:v>
      </x:c>
      <x:c r="B14" s="6" t="str">
        <x:v>내용</x:v>
      </x:c>
      <x:c r="C14" s="6" t="str"/>
      <x:c r="D14" s="6" t="str"/>
    </x:row>
    <x:row r="15">
      <x:c r="A15" t="str">
        <x:v>운영 승인</x:v>
      </x:c>
      <x:c r="B15" t="str">
        <x:v>합성 Lead Time은 운영 Baseline에 사용할 수 없음</x:v>
      </x:c>
      <x:c r="C15" t="str"/>
      <x:c r="D15" t="str"/>
    </x:row>
    <x:row r="16">
      <x:c r="A16" t="str">
        <x:v>Graph 대사</x:v>
      </x:c>
      <x:c r="B16" t="str">
        <x:v>Neo4j 적재 후 Revision별 Node/Lane Count와 Hash 대사 필요</x:v>
      </x:c>
      <x:c r="C16" t="str"/>
      <x:c r="D16" t="str"/>
    </x:row>
  </x:sheetData>
  <x:mergeCells>
    <x:mergeCell ref="B14:D14"/>
    <x:mergeCell ref="B15:D15"/>
    <x:mergeCell ref="B16:D16"/>
  </x:mergeCells>
  <x:conditionalFormatting sqref="D2:D12">
    <x:cfRule type="expression" dxfId="0" priority="1">
      <x:formula>D2="FAIL"</x:formula>
    </x:cfRule>
    <x:cfRule type="expression" dxfId="1" priority="2">
      <x:formula>D2="PASS"</x:formula>
    </x:cfRule>
  </x:conditionalFormatting>
  <x:pageMargins left="0.7" right="0.7" top="0.75" bottom="0.75" header="0.3" footer="0.3"/>
</x:worksheet>
</file>